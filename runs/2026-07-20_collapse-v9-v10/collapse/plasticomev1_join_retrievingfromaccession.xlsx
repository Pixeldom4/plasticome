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joined" sheetId="2" state="visible" r:id="rId2"/>
    <sheet name="substring-scan" sheetId="3" state="visible" r:id="rId3"/>
    <sheet name="near-substring-scan" sheetId="4" state="visible" r:id="rId4"/>
  </sheets>
  <definedNames>
    <definedName name="_xlnm._FilterDatabase" localSheetId="1" hidden="1">'joined'!$A$1:$AL$1</definedName>
    <definedName name="_xlnm._FilterDatabase" localSheetId="2" hidden="1">'substring-scan'!$A$1:$K$1</definedName>
    <definedName name="_xlnm._FilterDatabase" localSheetId="3" hidden="1">'near-substring-scan'!$A$1:$K$1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theme="1"/>
      <sz val="14"/>
    </font>
    <font>
      <name val="Calibri"/>
      <color theme="1"/>
      <sz val="11"/>
    </font>
    <font>
      <name val="Arial"/>
      <i val="1"/>
      <color rgb="FF808080"/>
      <sz val="9"/>
    </font>
    <font>
      <name val="Arial"/>
      <b val="1"/>
      <color rgb="FF2F5496"/>
      <sz val="11"/>
    </font>
    <font>
      <name val="Arial"/>
      <color theme="1"/>
      <sz val="11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rgb="00FFFFFF"/>
    </font>
    <font>
      <name val="Arial"/>
    </font>
  </fonts>
  <fills count="8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3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bottom" wrapText="1"/>
    </xf>
    <xf numFmtId="0" fontId="5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0" fillId="0" borderId="0" pivotButton="0" quotePrefix="0" xfId="0"/>
    <xf numFmtId="0" fontId="8" fillId="5" borderId="0" applyAlignment="1" pivotButton="0" quotePrefix="0" xfId="0">
      <alignment horizontal="center"/>
    </xf>
    <xf numFmtId="0" fontId="9" fillId="6" borderId="0" pivotButton="0" quotePrefix="0" xfId="0"/>
    <xf numFmtId="0" fontId="9" fillId="7" borderId="0" pivotButton="0" quotePrefix="0" xfId="0"/>
    <xf numFmtId="0" fontId="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showGridLines="0" workbookViewId="0">
      <selection activeCell="A1" sqref="A1"/>
    </sheetView>
  </sheetViews>
  <sheetFormatPr baseColWidth="8" defaultColWidth="14.43" defaultRowHeight="15" customHeight="1"/>
  <cols>
    <col width="44" customWidth="1" style="12" min="1" max="1"/>
    <col width="22" customWidth="1" style="12" min="2" max="2"/>
    <col width="8.710000000000001" customWidth="1" style="12" min="3" max="26"/>
  </cols>
  <sheetData>
    <row r="1" ht="17.25" customHeight="1" s="12">
      <c r="A1" s="1" t="inlineStr">
        <is>
          <t>Join summary: plasticome.v1  x  cleaned_pazy-260701_retrieving_from_accession</t>
        </is>
      </c>
      <c r="B1" s="2" t="n"/>
    </row>
    <row r="2" ht="15" customHeight="1" s="12">
      <c r="A2" s="3" t="inlineStr">
        <is>
          <t>Outer join, one row per unique aa_sequence. Duplicate sequences collapsed; differing field values joined with ";".</t>
        </is>
      </c>
      <c r="B2" s="2" t="n"/>
    </row>
    <row r="3">
      <c r="A3" s="2" t="n"/>
      <c r="B3" s="2" t="n"/>
    </row>
    <row r="4" ht="15" customHeight="1" s="12">
      <c r="A4" s="4" t="inlineStr">
        <is>
          <t>SEQUENCES IN JOIN (unique aa_sequence = 1 row each)</t>
        </is>
      </c>
      <c r="B4" s="2" t="n"/>
    </row>
    <row r="5" ht="15" customHeight="1" s="12">
      <c r="A5" s="5" t="inlineStr">
        <is>
          <t>In both sheets (matched)</t>
        </is>
      </c>
      <c r="B5" s="6">
        <f>COUNTIF(joined!A:A,"both")</f>
        <v/>
      </c>
    </row>
    <row r="6" ht="15" customHeight="1" s="12">
      <c r="A6" s="5" t="inlineStr">
        <is>
          <t>Only in plasticome.v1</t>
        </is>
      </c>
      <c r="B6" s="6">
        <f>COUNTIF(joined!A:A,"plasticome.v1_only")</f>
        <v/>
      </c>
    </row>
    <row r="7" ht="15" customHeight="1" s="12">
      <c r="A7" s="5" t="inlineStr">
        <is>
          <t>Only in retrieving-from-accession</t>
        </is>
      </c>
      <c r="B7" s="6">
        <f>COUNTIF(joined!A:A,"retrieving_only")</f>
        <v/>
      </c>
    </row>
    <row r="8" ht="15" customHeight="1" s="12">
      <c r="A8" s="6" t="inlineStr">
        <is>
          <t>Total sequences in join (rows)</t>
        </is>
      </c>
      <c r="B8" s="6">
        <f>COUNTA(joined!A:A)-1</f>
        <v/>
      </c>
    </row>
    <row r="9">
      <c r="A9" s="2" t="n"/>
      <c r="B9" s="2" t="n"/>
    </row>
    <row r="10" ht="15" customHeight="1" s="12">
      <c r="A10" s="4" t="inlineStr">
        <is>
          <t>SOURCE SHEETS</t>
        </is>
      </c>
      <c r="B10" s="2" t="n"/>
    </row>
    <row r="11" ht="15" customHeight="1" s="12">
      <c r="A11" s="5" t="inlineStr">
        <is>
          <t>plasticome.v1: raw rows / unique seqs</t>
        </is>
      </c>
      <c r="B11" s="6" t="inlineStr">
        <is>
          <t>213 / 205</t>
        </is>
      </c>
    </row>
    <row r="12" ht="15" customHeight="1" s="12">
      <c r="A12" s="5" t="inlineStr">
        <is>
          <t>retrieving: raw rows / unique seqs</t>
        </is>
      </c>
      <c r="B12" s="6" t="inlineStr">
        <is>
          <t>473 / 466</t>
        </is>
      </c>
    </row>
    <row r="13" ht="15" customHeight="1" s="12">
      <c r="A13" s="5" t="inlineStr">
        <is>
          <t>Rows collapsed in plasticome.v1</t>
        </is>
      </c>
      <c r="B13" s="6" t="n">
        <v>8</v>
      </c>
    </row>
    <row r="14" ht="15" customHeight="1" s="12">
      <c r="A14" s="5" t="inlineStr">
        <is>
          <t>Rows collapsed in retrieving</t>
        </is>
      </c>
      <c r="B14" s="6" t="n">
        <v>7</v>
      </c>
    </row>
    <row r="15">
      <c r="A15" s="2" t="n"/>
      <c r="B15" s="2" t="n"/>
    </row>
    <row r="16" ht="15" customHeight="1" s="12">
      <c r="A16" s="7" t="inlineStr">
        <is>
          <t>How the collapse works: within each source sheet, rows sharing an identical aa_sequence (whitespace/case normalized) are merged into one. For every field, a single distinct value is kept as-is; multiple distinct values are joined with ";" (e.g. accession "ADV92525;ADV92526"). Columns pv1__n_rows_collapsed / retr__n_rows_collapsed record how many source rows merged into each. Counts are live COUNTIF formulas over the joined sheet.</t>
        </is>
      </c>
    </row>
    <row r="17" ht="15" customHeight="1" s="12"/>
    <row r="18" ht="15" customHeight="1" s="12"/>
    <row r="19" ht="15" customHeight="1" s="12"/>
    <row r="20">
      <c r="A20" s="2" t="n"/>
      <c r="B20" s="2" t="n"/>
    </row>
    <row r="21" ht="15.75" customHeight="1" s="12">
      <c r="A21" s="4" t="inlineStr">
        <is>
          <t>SUBSTRING SCAN (exact, joined 501 seqs)</t>
        </is>
      </c>
      <c r="B21" s="2" t="n"/>
    </row>
    <row r="22" ht="15.75" customHeight="1" s="12">
      <c r="A22" s="5" t="inlineStr">
        <is>
          <t>Substring groups found</t>
        </is>
      </c>
      <c r="B22" s="6" t="n">
        <v>9</v>
      </c>
    </row>
    <row r="23" ht="15.75" customHeight="1" s="12">
      <c r="A23" s="5" t="inlineStr">
        <is>
          <t>Sequences in groups</t>
        </is>
      </c>
      <c r="B23" s="6" t="n">
        <v>19</v>
      </c>
    </row>
    <row r="24" ht="15.75" customHeight="1" s="12">
      <c r="A24" s="5" t="inlineStr">
        <is>
          <t xml:space="preserve">  cores (fragments)</t>
        </is>
      </c>
      <c r="B24" s="6" t="n">
        <v>9</v>
      </c>
    </row>
    <row r="25" ht="15.75" customHeight="1" s="12">
      <c r="A25" s="5" t="inlineStr">
        <is>
          <t xml:space="preserve">  supersets (extended)</t>
        </is>
      </c>
      <c r="B25" s="6" t="n">
        <v>10</v>
      </c>
    </row>
    <row r="26" ht="15.75" customHeight="1" s="12">
      <c r="A26" s="5" t="inlineStr">
        <is>
          <t>Standalone (no substring relation)</t>
        </is>
      </c>
      <c r="B26" s="6" t="n">
        <v>482</v>
      </c>
    </row>
    <row r="27" ht="15.75" customHeight="1" s="12">
      <c r="A27" s="2" t="n"/>
      <c r="B27" s="2" t="n"/>
    </row>
    <row r="28" ht="15.75" customHeight="1" s="12">
      <c r="A28" s="2" t="n"/>
      <c r="B28" s="2" t="n"/>
    </row>
    <row r="29" ht="15.75" customHeight="1" s="12">
      <c r="A29" s="2" t="n"/>
      <c r="B29" s="2" t="n"/>
    </row>
    <row r="30" ht="15.75" customHeight="1" s="12">
      <c r="A30" s="2" t="n"/>
      <c r="B30" s="2" t="n"/>
    </row>
    <row r="31" ht="15.75" customHeight="1" s="12">
      <c r="A31" s="2" t="n"/>
      <c r="B31" s="2" t="n"/>
    </row>
    <row r="32" ht="15.75" customHeight="1" s="12">
      <c r="A32" s="2" t="n"/>
      <c r="B32" s="2" t="n"/>
    </row>
    <row r="33" ht="15.75" customHeight="1" s="12">
      <c r="A33" s="2" t="n"/>
      <c r="B33" s="2" t="n"/>
    </row>
    <row r="34" ht="15.75" customHeight="1" s="12">
      <c r="A34" s="2" t="n"/>
      <c r="B34" s="2" t="n"/>
    </row>
    <row r="35" ht="15.75" customHeight="1" s="12">
      <c r="A35" s="2" t="n"/>
      <c r="B35" s="2" t="n"/>
    </row>
    <row r="36" ht="15.75" customHeight="1" s="12">
      <c r="A36" s="2" t="n"/>
      <c r="B36" s="2" t="n"/>
    </row>
    <row r="37" ht="15.75" customHeight="1" s="12">
      <c r="A37" s="2" t="n"/>
      <c r="B37" s="2" t="n"/>
    </row>
    <row r="38" ht="15.75" customHeight="1" s="12">
      <c r="A38" s="2" t="n"/>
      <c r="B38" s="2" t="n"/>
    </row>
    <row r="39" ht="15.75" customHeight="1" s="12">
      <c r="A39" s="2" t="n"/>
      <c r="B39" s="2" t="n"/>
    </row>
    <row r="40" ht="15.75" customHeight="1" s="12">
      <c r="A40" s="2" t="n"/>
      <c r="B40" s="2" t="n"/>
    </row>
    <row r="41" ht="15.75" customHeight="1" s="12">
      <c r="A41" s="2" t="n"/>
      <c r="B41" s="2" t="n"/>
    </row>
    <row r="42" ht="15.75" customHeight="1" s="12">
      <c r="A42" s="2" t="n"/>
      <c r="B42" s="2" t="n"/>
    </row>
    <row r="43" ht="15.75" customHeight="1" s="12">
      <c r="A43" s="2" t="n"/>
      <c r="B43" s="2" t="n"/>
    </row>
    <row r="44" ht="15.75" customHeight="1" s="12">
      <c r="A44" s="2" t="n"/>
      <c r="B44" s="2" t="n"/>
    </row>
    <row r="45" ht="15.75" customHeight="1" s="12">
      <c r="A45" s="2" t="n"/>
      <c r="B45" s="2" t="n"/>
    </row>
    <row r="46" ht="15.75" customHeight="1" s="12">
      <c r="A46" s="2" t="n"/>
      <c r="B46" s="2" t="n"/>
    </row>
    <row r="47" ht="15.75" customHeight="1" s="12">
      <c r="A47" s="2" t="n"/>
      <c r="B47" s="2" t="n"/>
    </row>
    <row r="48" ht="15.75" customHeight="1" s="12">
      <c r="A48" s="2" t="n"/>
      <c r="B48" s="2" t="n"/>
    </row>
    <row r="49" ht="15.75" customHeight="1" s="12">
      <c r="A49" s="2" t="n"/>
      <c r="B49" s="2" t="n"/>
    </row>
    <row r="50" ht="15.75" customHeight="1" s="12">
      <c r="A50" s="2" t="n"/>
      <c r="B50" s="2" t="n"/>
    </row>
    <row r="51" ht="15.75" customHeight="1" s="12">
      <c r="A51" s="2" t="n"/>
      <c r="B51" s="2" t="n"/>
    </row>
    <row r="52" ht="15.75" customHeight="1" s="12">
      <c r="A52" s="2" t="n"/>
      <c r="B52" s="2" t="n"/>
    </row>
    <row r="53" ht="15.75" customHeight="1" s="12">
      <c r="A53" s="2" t="n"/>
      <c r="B53" s="2" t="n"/>
    </row>
    <row r="54" ht="15.75" customHeight="1" s="12">
      <c r="A54" s="2" t="n"/>
      <c r="B54" s="2" t="n"/>
    </row>
    <row r="55" ht="15.75" customHeight="1" s="12">
      <c r="A55" s="2" t="n"/>
      <c r="B55" s="2" t="n"/>
    </row>
    <row r="56" ht="15.75" customHeight="1" s="12">
      <c r="A56" s="2" t="n"/>
      <c r="B56" s="2" t="n"/>
    </row>
    <row r="57" ht="15.75" customHeight="1" s="12">
      <c r="A57" s="2" t="n"/>
      <c r="B57" s="2" t="n"/>
    </row>
    <row r="58" ht="15.75" customHeight="1" s="12">
      <c r="A58" s="2" t="n"/>
      <c r="B58" s="2" t="n"/>
    </row>
    <row r="59" ht="15.75" customHeight="1" s="12">
      <c r="A59" s="2" t="n"/>
      <c r="B59" s="2" t="n"/>
    </row>
    <row r="60" ht="15.75" customHeight="1" s="12">
      <c r="A60" s="2" t="n"/>
      <c r="B60" s="2" t="n"/>
    </row>
    <row r="61" ht="15.75" customHeight="1" s="12">
      <c r="A61" s="2" t="n"/>
      <c r="B61" s="2" t="n"/>
    </row>
    <row r="62" ht="15.75" customHeight="1" s="12">
      <c r="A62" s="2" t="n"/>
      <c r="B62" s="2" t="n"/>
    </row>
    <row r="63" ht="15.75" customHeight="1" s="12">
      <c r="A63" s="2" t="n"/>
      <c r="B63" s="2" t="n"/>
    </row>
    <row r="64" ht="15.75" customHeight="1" s="12">
      <c r="A64" s="2" t="n"/>
      <c r="B64" s="2" t="n"/>
    </row>
    <row r="65" ht="15.75" customHeight="1" s="12">
      <c r="A65" s="2" t="n"/>
      <c r="B65" s="2" t="n"/>
    </row>
    <row r="66" ht="15.75" customHeight="1" s="12">
      <c r="A66" s="2" t="n"/>
      <c r="B66" s="2" t="n"/>
    </row>
    <row r="67" ht="15.75" customHeight="1" s="12">
      <c r="A67" s="2" t="n"/>
      <c r="B67" s="2" t="n"/>
    </row>
    <row r="68" ht="15.75" customHeight="1" s="12">
      <c r="A68" s="2" t="n"/>
      <c r="B68" s="2" t="n"/>
    </row>
    <row r="69" ht="15.75" customHeight="1" s="12">
      <c r="A69" s="2" t="n"/>
      <c r="B69" s="2" t="n"/>
    </row>
    <row r="70" ht="15.75" customHeight="1" s="12">
      <c r="A70" s="2" t="n"/>
      <c r="B70" s="2" t="n"/>
    </row>
    <row r="71" ht="15.75" customHeight="1" s="12">
      <c r="A71" s="2" t="n"/>
      <c r="B71" s="2" t="n"/>
    </row>
    <row r="72" ht="15.75" customHeight="1" s="12">
      <c r="A72" s="2" t="n"/>
      <c r="B72" s="2" t="n"/>
    </row>
    <row r="73" ht="15.75" customHeight="1" s="12">
      <c r="A73" s="2" t="n"/>
      <c r="B73" s="2" t="n"/>
    </row>
    <row r="74" ht="15.75" customHeight="1" s="12">
      <c r="A74" s="2" t="n"/>
      <c r="B74" s="2" t="n"/>
    </row>
    <row r="75" ht="15.75" customHeight="1" s="12">
      <c r="A75" s="2" t="n"/>
      <c r="B75" s="2" t="n"/>
    </row>
    <row r="76" ht="15.75" customHeight="1" s="12">
      <c r="A76" s="2" t="n"/>
      <c r="B76" s="2" t="n"/>
    </row>
    <row r="77" ht="15.75" customHeight="1" s="12">
      <c r="A77" s="2" t="n"/>
      <c r="B77" s="2" t="n"/>
    </row>
    <row r="78" ht="15.75" customHeight="1" s="12">
      <c r="A78" s="2" t="n"/>
      <c r="B78" s="2" t="n"/>
    </row>
    <row r="79" ht="15.75" customHeight="1" s="12">
      <c r="A79" s="2" t="n"/>
      <c r="B79" s="2" t="n"/>
    </row>
    <row r="80" ht="15.75" customHeight="1" s="12">
      <c r="A80" s="2" t="n"/>
      <c r="B80" s="2" t="n"/>
    </row>
    <row r="81" ht="15.75" customHeight="1" s="12">
      <c r="A81" s="2" t="n"/>
      <c r="B81" s="2" t="n"/>
    </row>
    <row r="82" ht="15.75" customHeight="1" s="12">
      <c r="A82" s="2" t="n"/>
      <c r="B82" s="2" t="n"/>
    </row>
    <row r="83" ht="15.75" customHeight="1" s="12">
      <c r="A83" s="2" t="n"/>
      <c r="B83" s="2" t="n"/>
    </row>
    <row r="84" ht="15.75" customHeight="1" s="12">
      <c r="A84" s="2" t="n"/>
      <c r="B84" s="2" t="n"/>
    </row>
    <row r="85" ht="15.75" customHeight="1" s="12">
      <c r="A85" s="2" t="n"/>
      <c r="B85" s="2" t="n"/>
    </row>
    <row r="86" ht="15.75" customHeight="1" s="12">
      <c r="A86" s="2" t="n"/>
      <c r="B86" s="2" t="n"/>
    </row>
    <row r="87" ht="15.75" customHeight="1" s="12">
      <c r="A87" s="2" t="n"/>
      <c r="B87" s="2" t="n"/>
    </row>
    <row r="88" ht="15.75" customHeight="1" s="12">
      <c r="A88" s="2" t="n"/>
      <c r="B88" s="2" t="n"/>
    </row>
    <row r="89" ht="15.75" customHeight="1" s="12">
      <c r="A89" s="2" t="n"/>
      <c r="B89" s="2" t="n"/>
    </row>
    <row r="90" ht="15.75" customHeight="1" s="12">
      <c r="A90" s="2" t="n"/>
      <c r="B90" s="2" t="n"/>
    </row>
    <row r="91" ht="15.75" customHeight="1" s="12">
      <c r="A91" s="2" t="n"/>
      <c r="B91" s="2" t="n"/>
    </row>
    <row r="92" ht="15.75" customHeight="1" s="12">
      <c r="A92" s="2" t="n"/>
      <c r="B92" s="2" t="n"/>
    </row>
    <row r="93" ht="15.75" customHeight="1" s="12">
      <c r="A93" s="2" t="n"/>
      <c r="B93" s="2" t="n"/>
    </row>
    <row r="94" ht="15.75" customHeight="1" s="12">
      <c r="A94" s="2" t="n"/>
      <c r="B94" s="2" t="n"/>
    </row>
    <row r="95" ht="15.75" customHeight="1" s="12">
      <c r="A95" s="2" t="n"/>
      <c r="B95" s="2" t="n"/>
    </row>
    <row r="96" ht="15.75" customHeight="1" s="12">
      <c r="A96" s="2" t="n"/>
      <c r="B96" s="2" t="n"/>
    </row>
    <row r="97" ht="15.75" customHeight="1" s="12">
      <c r="A97" s="2" t="n"/>
      <c r="B97" s="2" t="n"/>
    </row>
    <row r="98" ht="15.75" customHeight="1" s="12">
      <c r="A98" s="2" t="n"/>
      <c r="B98" s="2" t="n"/>
    </row>
    <row r="99" ht="15.75" customHeight="1" s="12">
      <c r="A99" s="2" t="n"/>
      <c r="B99" s="2" t="n"/>
    </row>
    <row r="100" ht="15.75" customHeight="1" s="12">
      <c r="A100" s="2" t="n"/>
      <c r="B100" s="2" t="n"/>
    </row>
    <row r="101" ht="15.75" customHeight="1" s="12">
      <c r="A101" s="2" t="n"/>
      <c r="B101" s="2" t="n"/>
    </row>
    <row r="102" ht="15.75" customHeight="1" s="12">
      <c r="A102" s="2" t="n"/>
      <c r="B102" s="2" t="n"/>
    </row>
    <row r="103" ht="15.75" customHeight="1" s="12">
      <c r="A103" s="2" t="n"/>
      <c r="B103" s="2" t="n"/>
    </row>
    <row r="104" ht="15.75" customHeight="1" s="12">
      <c r="A104" s="2" t="n"/>
      <c r="B104" s="2" t="n"/>
    </row>
    <row r="105" ht="15.75" customHeight="1" s="12">
      <c r="A105" s="2" t="n"/>
      <c r="B105" s="2" t="n"/>
    </row>
    <row r="106" ht="15.75" customHeight="1" s="12">
      <c r="A106" s="2" t="n"/>
      <c r="B106" s="2" t="n"/>
    </row>
    <row r="107" ht="15.75" customHeight="1" s="12">
      <c r="A107" s="2" t="n"/>
      <c r="B107" s="2" t="n"/>
    </row>
    <row r="108" ht="15.75" customHeight="1" s="12">
      <c r="A108" s="2" t="n"/>
      <c r="B108" s="2" t="n"/>
    </row>
    <row r="109" ht="15.75" customHeight="1" s="12">
      <c r="A109" s="2" t="n"/>
      <c r="B109" s="2" t="n"/>
    </row>
    <row r="110" ht="15.75" customHeight="1" s="12">
      <c r="A110" s="2" t="n"/>
      <c r="B110" s="2" t="n"/>
    </row>
    <row r="111" ht="15.75" customHeight="1" s="12">
      <c r="A111" s="2" t="n"/>
      <c r="B111" s="2" t="n"/>
    </row>
    <row r="112" ht="15.75" customHeight="1" s="12">
      <c r="A112" s="2" t="n"/>
      <c r="B112" s="2" t="n"/>
    </row>
    <row r="113" ht="15.75" customHeight="1" s="12">
      <c r="A113" s="2" t="n"/>
      <c r="B113" s="2" t="n"/>
    </row>
    <row r="114" ht="15.75" customHeight="1" s="12">
      <c r="A114" s="2" t="n"/>
      <c r="B114" s="2" t="n"/>
    </row>
    <row r="115" ht="15.75" customHeight="1" s="12">
      <c r="A115" s="2" t="n"/>
      <c r="B115" s="2" t="n"/>
    </row>
    <row r="116" ht="15.75" customHeight="1" s="12">
      <c r="A116" s="2" t="n"/>
      <c r="B116" s="2" t="n"/>
    </row>
    <row r="117" ht="15.75" customHeight="1" s="12">
      <c r="A117" s="2" t="n"/>
      <c r="B117" s="2" t="n"/>
    </row>
    <row r="118" ht="15.75" customHeight="1" s="12">
      <c r="A118" s="2" t="n"/>
      <c r="B118" s="2" t="n"/>
    </row>
    <row r="119" ht="15.75" customHeight="1" s="12">
      <c r="A119" s="2" t="n"/>
      <c r="B119" s="2" t="n"/>
    </row>
    <row r="120" ht="15.75" customHeight="1" s="12">
      <c r="A120" s="2" t="n"/>
      <c r="B120" s="2" t="n"/>
    </row>
    <row r="121" ht="15.75" customHeight="1" s="12">
      <c r="A121" s="2" t="n"/>
      <c r="B121" s="2" t="n"/>
    </row>
    <row r="122" ht="15.75" customHeight="1" s="12">
      <c r="A122" s="2" t="n"/>
      <c r="B122" s="2" t="n"/>
    </row>
    <row r="123" ht="15.75" customHeight="1" s="12">
      <c r="A123" s="2" t="n"/>
      <c r="B123" s="2" t="n"/>
    </row>
    <row r="124" ht="15.75" customHeight="1" s="12">
      <c r="A124" s="2" t="n"/>
      <c r="B124" s="2" t="n"/>
    </row>
    <row r="125" ht="15.75" customHeight="1" s="12">
      <c r="A125" s="2" t="n"/>
      <c r="B125" s="2" t="n"/>
    </row>
    <row r="126" ht="15.75" customHeight="1" s="12">
      <c r="A126" s="2" t="n"/>
      <c r="B126" s="2" t="n"/>
    </row>
    <row r="127" ht="15.75" customHeight="1" s="12">
      <c r="A127" s="2" t="n"/>
      <c r="B127" s="2" t="n"/>
    </row>
    <row r="128" ht="15.75" customHeight="1" s="12">
      <c r="A128" s="2" t="n"/>
      <c r="B128" s="2" t="n"/>
    </row>
    <row r="129" ht="15.75" customHeight="1" s="12">
      <c r="A129" s="2" t="n"/>
      <c r="B129" s="2" t="n"/>
    </row>
    <row r="130" ht="15.75" customHeight="1" s="12">
      <c r="A130" s="2" t="n"/>
      <c r="B130" s="2" t="n"/>
    </row>
    <row r="131" ht="15.75" customHeight="1" s="12">
      <c r="A131" s="2" t="n"/>
      <c r="B131" s="2" t="n"/>
    </row>
    <row r="132" ht="15.75" customHeight="1" s="12">
      <c r="A132" s="2" t="n"/>
      <c r="B132" s="2" t="n"/>
    </row>
    <row r="133" ht="15.75" customHeight="1" s="12">
      <c r="A133" s="2" t="n"/>
      <c r="B133" s="2" t="n"/>
    </row>
    <row r="134" ht="15.75" customHeight="1" s="12">
      <c r="A134" s="2" t="n"/>
      <c r="B134" s="2" t="n"/>
    </row>
    <row r="135" ht="15.75" customHeight="1" s="12">
      <c r="A135" s="2" t="n"/>
      <c r="B135" s="2" t="n"/>
    </row>
    <row r="136" ht="15.75" customHeight="1" s="12">
      <c r="A136" s="2" t="n"/>
      <c r="B136" s="2" t="n"/>
    </row>
    <row r="137" ht="15.75" customHeight="1" s="12">
      <c r="A137" s="2" t="n"/>
      <c r="B137" s="2" t="n"/>
    </row>
    <row r="138" ht="15.75" customHeight="1" s="12">
      <c r="A138" s="2" t="n"/>
      <c r="B138" s="2" t="n"/>
    </row>
    <row r="139" ht="15.75" customHeight="1" s="12">
      <c r="A139" s="2" t="n"/>
      <c r="B139" s="2" t="n"/>
    </row>
    <row r="140" ht="15.75" customHeight="1" s="12">
      <c r="A140" s="2" t="n"/>
      <c r="B140" s="2" t="n"/>
    </row>
    <row r="141" ht="15.75" customHeight="1" s="12">
      <c r="A141" s="2" t="n"/>
      <c r="B141" s="2" t="n"/>
    </row>
    <row r="142" ht="15.75" customHeight="1" s="12">
      <c r="A142" s="2" t="n"/>
      <c r="B142" s="2" t="n"/>
    </row>
    <row r="143" ht="15.75" customHeight="1" s="12">
      <c r="A143" s="2" t="n"/>
      <c r="B143" s="2" t="n"/>
    </row>
    <row r="144" ht="15.75" customHeight="1" s="12">
      <c r="A144" s="2" t="n"/>
      <c r="B144" s="2" t="n"/>
    </row>
    <row r="145" ht="15.75" customHeight="1" s="12">
      <c r="A145" s="2" t="n"/>
      <c r="B145" s="2" t="n"/>
    </row>
    <row r="146" ht="15.75" customHeight="1" s="12">
      <c r="A146" s="2" t="n"/>
      <c r="B146" s="2" t="n"/>
    </row>
    <row r="147" ht="15.75" customHeight="1" s="12">
      <c r="A147" s="2" t="n"/>
      <c r="B147" s="2" t="n"/>
    </row>
    <row r="148" ht="15.75" customHeight="1" s="12">
      <c r="A148" s="2" t="n"/>
      <c r="B148" s="2" t="n"/>
    </row>
    <row r="149" ht="15.75" customHeight="1" s="12">
      <c r="A149" s="2" t="n"/>
      <c r="B149" s="2" t="n"/>
    </row>
    <row r="150" ht="15.75" customHeight="1" s="12">
      <c r="A150" s="2" t="n"/>
      <c r="B150" s="2" t="n"/>
    </row>
    <row r="151" ht="15.75" customHeight="1" s="12">
      <c r="A151" s="2" t="n"/>
      <c r="B151" s="2" t="n"/>
    </row>
    <row r="152" ht="15.75" customHeight="1" s="12">
      <c r="A152" s="2" t="n"/>
      <c r="B152" s="2" t="n"/>
    </row>
    <row r="153" ht="15.75" customHeight="1" s="12">
      <c r="A153" s="2" t="n"/>
      <c r="B153" s="2" t="n"/>
    </row>
    <row r="154" ht="15.75" customHeight="1" s="12">
      <c r="A154" s="2" t="n"/>
      <c r="B154" s="2" t="n"/>
    </row>
    <row r="155" ht="15.75" customHeight="1" s="12">
      <c r="A155" s="2" t="n"/>
      <c r="B155" s="2" t="n"/>
    </row>
    <row r="156" ht="15.75" customHeight="1" s="12">
      <c r="A156" s="2" t="n"/>
      <c r="B156" s="2" t="n"/>
    </row>
    <row r="157" ht="15.75" customHeight="1" s="12">
      <c r="A157" s="2" t="n"/>
      <c r="B157" s="2" t="n"/>
    </row>
    <row r="158" ht="15.75" customHeight="1" s="12">
      <c r="A158" s="2" t="n"/>
      <c r="B158" s="2" t="n"/>
    </row>
    <row r="159" ht="15.75" customHeight="1" s="12">
      <c r="A159" s="2" t="n"/>
      <c r="B159" s="2" t="n"/>
    </row>
    <row r="160" ht="15.75" customHeight="1" s="12">
      <c r="A160" s="2" t="n"/>
      <c r="B160" s="2" t="n"/>
    </row>
    <row r="161" ht="15.75" customHeight="1" s="12">
      <c r="A161" s="2" t="n"/>
      <c r="B161" s="2" t="n"/>
    </row>
    <row r="162" ht="15.75" customHeight="1" s="12">
      <c r="A162" s="2" t="n"/>
      <c r="B162" s="2" t="n"/>
    </row>
    <row r="163" ht="15.75" customHeight="1" s="12">
      <c r="A163" s="2" t="n"/>
      <c r="B163" s="2" t="n"/>
    </row>
    <row r="164" ht="15.75" customHeight="1" s="12">
      <c r="A164" s="2" t="n"/>
      <c r="B164" s="2" t="n"/>
    </row>
    <row r="165" ht="15.75" customHeight="1" s="12">
      <c r="A165" s="2" t="n"/>
      <c r="B165" s="2" t="n"/>
    </row>
    <row r="166" ht="15.75" customHeight="1" s="12">
      <c r="A166" s="2" t="n"/>
      <c r="B166" s="2" t="n"/>
    </row>
    <row r="167" ht="15.75" customHeight="1" s="12">
      <c r="A167" s="2" t="n"/>
      <c r="B167" s="2" t="n"/>
    </row>
    <row r="168" ht="15.75" customHeight="1" s="12">
      <c r="A168" s="2" t="n"/>
      <c r="B168" s="2" t="n"/>
    </row>
    <row r="169" ht="15.75" customHeight="1" s="12">
      <c r="A169" s="2" t="n"/>
      <c r="B169" s="2" t="n"/>
    </row>
    <row r="170" ht="15.75" customHeight="1" s="12">
      <c r="A170" s="2" t="n"/>
      <c r="B170" s="2" t="n"/>
    </row>
    <row r="171" ht="15.75" customHeight="1" s="12">
      <c r="A171" s="2" t="n"/>
      <c r="B171" s="2" t="n"/>
    </row>
    <row r="172" ht="15.75" customHeight="1" s="12">
      <c r="A172" s="2" t="n"/>
      <c r="B172" s="2" t="n"/>
    </row>
    <row r="173" ht="15.75" customHeight="1" s="12">
      <c r="A173" s="2" t="n"/>
      <c r="B173" s="2" t="n"/>
    </row>
    <row r="174" ht="15.75" customHeight="1" s="12">
      <c r="A174" s="2" t="n"/>
      <c r="B174" s="2" t="n"/>
    </row>
    <row r="175" ht="15.75" customHeight="1" s="12">
      <c r="A175" s="2" t="n"/>
      <c r="B175" s="2" t="n"/>
    </row>
    <row r="176" ht="15.75" customHeight="1" s="12">
      <c r="A176" s="2" t="n"/>
      <c r="B176" s="2" t="n"/>
    </row>
    <row r="177" ht="15.75" customHeight="1" s="12">
      <c r="A177" s="2" t="n"/>
      <c r="B177" s="2" t="n"/>
    </row>
    <row r="178" ht="15.75" customHeight="1" s="12">
      <c r="A178" s="2" t="n"/>
      <c r="B178" s="2" t="n"/>
    </row>
    <row r="179" ht="15.75" customHeight="1" s="12">
      <c r="A179" s="2" t="n"/>
      <c r="B179" s="2" t="n"/>
    </row>
    <row r="180" ht="15.75" customHeight="1" s="12">
      <c r="A180" s="2" t="n"/>
      <c r="B180" s="2" t="n"/>
    </row>
    <row r="181" ht="15.75" customHeight="1" s="12">
      <c r="A181" s="2" t="n"/>
      <c r="B181" s="2" t="n"/>
    </row>
    <row r="182" ht="15.75" customHeight="1" s="12">
      <c r="A182" s="2" t="n"/>
      <c r="B182" s="2" t="n"/>
    </row>
    <row r="183" ht="15.75" customHeight="1" s="12">
      <c r="A183" s="2" t="n"/>
      <c r="B183" s="2" t="n"/>
    </row>
    <row r="184" ht="15.75" customHeight="1" s="12">
      <c r="A184" s="2" t="n"/>
      <c r="B184" s="2" t="n"/>
    </row>
    <row r="185" ht="15.75" customHeight="1" s="12">
      <c r="A185" s="2" t="n"/>
      <c r="B185" s="2" t="n"/>
    </row>
    <row r="186" ht="15.75" customHeight="1" s="12">
      <c r="A186" s="2" t="n"/>
      <c r="B186" s="2" t="n"/>
    </row>
    <row r="187" ht="15.75" customHeight="1" s="12">
      <c r="A187" s="2" t="n"/>
      <c r="B187" s="2" t="n"/>
    </row>
    <row r="188" ht="15.75" customHeight="1" s="12">
      <c r="A188" s="2" t="n"/>
      <c r="B188" s="2" t="n"/>
    </row>
    <row r="189" ht="15.75" customHeight="1" s="12">
      <c r="A189" s="2" t="n"/>
      <c r="B189" s="2" t="n"/>
    </row>
    <row r="190" ht="15.75" customHeight="1" s="12">
      <c r="A190" s="2" t="n"/>
      <c r="B190" s="2" t="n"/>
    </row>
    <row r="191" ht="15.75" customHeight="1" s="12">
      <c r="A191" s="2" t="n"/>
      <c r="B191" s="2" t="n"/>
    </row>
    <row r="192" ht="15.75" customHeight="1" s="12">
      <c r="A192" s="2" t="n"/>
      <c r="B192" s="2" t="n"/>
    </row>
    <row r="193" ht="15.75" customHeight="1" s="12">
      <c r="A193" s="2" t="n"/>
      <c r="B193" s="2" t="n"/>
    </row>
    <row r="194" ht="15.75" customHeight="1" s="12">
      <c r="A194" s="2" t="n"/>
      <c r="B194" s="2" t="n"/>
    </row>
    <row r="195" ht="15.75" customHeight="1" s="12">
      <c r="A195" s="2" t="n"/>
      <c r="B195" s="2" t="n"/>
    </row>
    <row r="196" ht="15.75" customHeight="1" s="12">
      <c r="A196" s="2" t="n"/>
      <c r="B196" s="2" t="n"/>
    </row>
    <row r="197" ht="15.75" customHeight="1" s="12">
      <c r="A197" s="2" t="n"/>
      <c r="B197" s="2" t="n"/>
    </row>
    <row r="198" ht="15.75" customHeight="1" s="12">
      <c r="A198" s="2" t="n"/>
      <c r="B198" s="2" t="n"/>
    </row>
    <row r="199" ht="15.75" customHeight="1" s="12">
      <c r="A199" s="2" t="n"/>
      <c r="B199" s="2" t="n"/>
    </row>
    <row r="200" ht="15.75" customHeight="1" s="12">
      <c r="A200" s="2" t="n"/>
      <c r="B200" s="2" t="n"/>
    </row>
    <row r="201" ht="15.75" customHeight="1" s="12">
      <c r="A201" s="2" t="n"/>
      <c r="B201" s="2" t="n"/>
    </row>
    <row r="202" ht="15.75" customHeight="1" s="12">
      <c r="A202" s="2" t="n"/>
      <c r="B202" s="2" t="n"/>
    </row>
    <row r="203" ht="15.75" customHeight="1" s="12">
      <c r="A203" s="2" t="n"/>
      <c r="B203" s="2" t="n"/>
    </row>
    <row r="204" ht="15.75" customHeight="1" s="12">
      <c r="A204" s="2" t="n"/>
      <c r="B204" s="2" t="n"/>
    </row>
    <row r="205" ht="15.75" customHeight="1" s="12">
      <c r="A205" s="2" t="n"/>
      <c r="B205" s="2" t="n"/>
    </row>
    <row r="206" ht="15.75" customHeight="1" s="12">
      <c r="A206" s="2" t="n"/>
      <c r="B206" s="2" t="n"/>
    </row>
    <row r="207" ht="15.75" customHeight="1" s="12">
      <c r="A207" s="2" t="n"/>
      <c r="B207" s="2" t="n"/>
    </row>
    <row r="208" ht="15.75" customHeight="1" s="12">
      <c r="A208" s="2" t="n"/>
      <c r="B208" s="2" t="n"/>
    </row>
    <row r="209" ht="15.75" customHeight="1" s="12">
      <c r="A209" s="2" t="n"/>
      <c r="B209" s="2" t="n"/>
    </row>
    <row r="210" ht="15.75" customHeight="1" s="12">
      <c r="A210" s="2" t="n"/>
      <c r="B210" s="2" t="n"/>
    </row>
    <row r="211" ht="15.75" customHeight="1" s="12">
      <c r="A211" s="2" t="n"/>
      <c r="B211" s="2" t="n"/>
    </row>
    <row r="212" ht="15.75" customHeight="1" s="12">
      <c r="A212" s="2" t="n"/>
      <c r="B212" s="2" t="n"/>
    </row>
    <row r="213" ht="15.75" customHeight="1" s="12">
      <c r="A213" s="2" t="n"/>
      <c r="B213" s="2" t="n"/>
    </row>
    <row r="214" ht="15.75" customHeight="1" s="12">
      <c r="A214" s="2" t="n"/>
      <c r="B214" s="2" t="n"/>
    </row>
    <row r="215" ht="15.75" customHeight="1" s="12">
      <c r="A215" s="2" t="n"/>
      <c r="B215" s="2" t="n"/>
    </row>
    <row r="216" ht="15.75" customHeight="1" s="12">
      <c r="A216" s="2" t="n"/>
      <c r="B216" s="2" t="n"/>
    </row>
    <row r="217" ht="15.75" customHeight="1" s="12">
      <c r="A217" s="2" t="n"/>
      <c r="B217" s="2" t="n"/>
    </row>
    <row r="218" ht="15.75" customHeight="1" s="12">
      <c r="A218" s="2" t="n"/>
      <c r="B218" s="2" t="n"/>
    </row>
    <row r="219" ht="15.75" customHeight="1" s="12">
      <c r="A219" s="2" t="n"/>
      <c r="B219" s="2" t="n"/>
    </row>
    <row r="220" ht="15.75" customHeight="1" s="12">
      <c r="A220" s="2" t="n"/>
      <c r="B220" s="2" t="n"/>
    </row>
    <row r="221" ht="15.75" customHeight="1" s="12">
      <c r="A221" s="2" t="n"/>
      <c r="B221" s="2" t="n"/>
    </row>
    <row r="222" ht="15.75" customHeight="1" s="12">
      <c r="A222" s="2" t="n"/>
      <c r="B222" s="2" t="n"/>
    </row>
    <row r="223" ht="15.75" customHeight="1" s="12">
      <c r="A223" s="2" t="n"/>
      <c r="B223" s="2" t="n"/>
    </row>
    <row r="224" ht="15.75" customHeight="1" s="12">
      <c r="A224" s="2" t="n"/>
      <c r="B224" s="2" t="n"/>
    </row>
    <row r="225" ht="15.75" customHeight="1" s="12">
      <c r="A225" s="2" t="n"/>
      <c r="B225" s="2" t="n"/>
    </row>
    <row r="226" ht="15.75" customHeight="1" s="12">
      <c r="A226" s="2" t="n"/>
      <c r="B226" s="2" t="n"/>
    </row>
    <row r="227" ht="15.75" customHeight="1" s="12">
      <c r="A227" s="2" t="n"/>
      <c r="B227" s="2" t="n"/>
    </row>
    <row r="228" ht="15.75" customHeight="1" s="12">
      <c r="A228" s="2" t="n"/>
      <c r="B228" s="2" t="n"/>
    </row>
    <row r="229" ht="15.75" customHeight="1" s="12">
      <c r="A229" s="2" t="n"/>
      <c r="B229" s="2" t="n"/>
    </row>
    <row r="230" ht="15.75" customHeight="1" s="12">
      <c r="A230" s="2" t="n"/>
      <c r="B230" s="2" t="n"/>
    </row>
    <row r="231" ht="15.75" customHeight="1" s="12">
      <c r="A231" s="2" t="n"/>
      <c r="B231" s="2" t="n"/>
    </row>
    <row r="232" ht="15.75" customHeight="1" s="12">
      <c r="A232" s="2" t="n"/>
      <c r="B232" s="2" t="n"/>
    </row>
    <row r="233" ht="15.75" customHeight="1" s="12">
      <c r="A233" s="2" t="n"/>
      <c r="B233" s="2" t="n"/>
    </row>
    <row r="234" ht="15.75" customHeight="1" s="12">
      <c r="A234" s="2" t="n"/>
      <c r="B234" s="2" t="n"/>
    </row>
    <row r="235" ht="15.75" customHeight="1" s="12">
      <c r="A235" s="2" t="n"/>
      <c r="B235" s="2" t="n"/>
    </row>
    <row r="236" ht="15.75" customHeight="1" s="12">
      <c r="A236" s="2" t="n"/>
      <c r="B236" s="2" t="n"/>
    </row>
    <row r="237" ht="15.75" customHeight="1" s="12">
      <c r="A237" s="2" t="n"/>
      <c r="B237" s="2" t="n"/>
    </row>
    <row r="238" ht="15.75" customHeight="1" s="12">
      <c r="A238" s="2" t="n"/>
      <c r="B238" s="2" t="n"/>
    </row>
    <row r="239" ht="15.75" customHeight="1" s="12">
      <c r="A239" s="2" t="n"/>
      <c r="B239" s="2" t="n"/>
    </row>
    <row r="240" ht="15.75" customHeight="1" s="12">
      <c r="A240" s="2" t="n"/>
      <c r="B240" s="2" t="n"/>
    </row>
    <row r="241" ht="15.75" customHeight="1" s="12">
      <c r="A241" s="2" t="n"/>
      <c r="B241" s="2" t="n"/>
    </row>
    <row r="242" ht="15.75" customHeight="1" s="12">
      <c r="A242" s="2" t="n"/>
      <c r="B242" s="2" t="n"/>
    </row>
    <row r="243" ht="15.75" customHeight="1" s="12">
      <c r="A243" s="2" t="n"/>
      <c r="B243" s="2" t="n"/>
    </row>
    <row r="244" ht="15.75" customHeight="1" s="12">
      <c r="A244" s="2" t="n"/>
      <c r="B244" s="2" t="n"/>
    </row>
    <row r="245" ht="15.75" customHeight="1" s="12">
      <c r="A245" s="2" t="n"/>
      <c r="B245" s="2" t="n"/>
    </row>
    <row r="246" ht="15.75" customHeight="1" s="12">
      <c r="A246" s="2" t="n"/>
      <c r="B246" s="2" t="n"/>
    </row>
    <row r="247" ht="15.75" customHeight="1" s="12">
      <c r="A247" s="2" t="n"/>
      <c r="B247" s="2" t="n"/>
    </row>
    <row r="248" ht="15.75" customHeight="1" s="12">
      <c r="A248" s="2" t="n"/>
      <c r="B248" s="2" t="n"/>
    </row>
    <row r="249" ht="15.75" customHeight="1" s="12">
      <c r="A249" s="2" t="n"/>
      <c r="B249" s="2" t="n"/>
    </row>
    <row r="250" ht="15.75" customHeight="1" s="12">
      <c r="A250" s="2" t="n"/>
      <c r="B250" s="2" t="n"/>
    </row>
    <row r="251" ht="15.75" customHeight="1" s="12">
      <c r="A251" s="2" t="n"/>
      <c r="B251" s="2" t="n"/>
    </row>
    <row r="252" ht="15.75" customHeight="1" s="12">
      <c r="A252" s="2" t="n"/>
      <c r="B252" s="2" t="n"/>
    </row>
    <row r="253" ht="15.75" customHeight="1" s="12">
      <c r="A253" s="2" t="n"/>
      <c r="B253" s="2" t="n"/>
    </row>
    <row r="254" ht="15.75" customHeight="1" s="12">
      <c r="A254" s="2" t="n"/>
      <c r="B254" s="2" t="n"/>
    </row>
    <row r="255" ht="15.75" customHeight="1" s="12">
      <c r="A255" s="2" t="n"/>
      <c r="B255" s="2" t="n"/>
    </row>
    <row r="256" ht="15.75" customHeight="1" s="12">
      <c r="A256" s="2" t="n"/>
      <c r="B256" s="2" t="n"/>
    </row>
    <row r="257" ht="15.75" customHeight="1" s="12">
      <c r="A257" s="2" t="n"/>
      <c r="B257" s="2" t="n"/>
    </row>
    <row r="258" ht="15.75" customHeight="1" s="12">
      <c r="A258" s="2" t="n"/>
      <c r="B258" s="2" t="n"/>
    </row>
    <row r="259" ht="15.75" customHeight="1" s="12">
      <c r="A259" s="2" t="n"/>
      <c r="B259" s="2" t="n"/>
    </row>
    <row r="260" ht="15.75" customHeight="1" s="12">
      <c r="A260" s="2" t="n"/>
      <c r="B260" s="2" t="n"/>
    </row>
    <row r="261" ht="15.75" customHeight="1" s="12">
      <c r="A261" s="2" t="n"/>
      <c r="B261" s="2" t="n"/>
    </row>
    <row r="262" ht="15.75" customHeight="1" s="12">
      <c r="A262" s="2" t="n"/>
      <c r="B262" s="2" t="n"/>
    </row>
    <row r="263" ht="15.75" customHeight="1" s="12">
      <c r="A263" s="2" t="n"/>
      <c r="B263" s="2" t="n"/>
    </row>
    <row r="264" ht="15.75" customHeight="1" s="12">
      <c r="A264" s="2" t="n"/>
      <c r="B264" s="2" t="n"/>
    </row>
    <row r="265" ht="15.75" customHeight="1" s="12">
      <c r="A265" s="2" t="n"/>
      <c r="B265" s="2" t="n"/>
    </row>
    <row r="266" ht="15.75" customHeight="1" s="12">
      <c r="A266" s="2" t="n"/>
      <c r="B266" s="2" t="n"/>
    </row>
    <row r="267" ht="15.75" customHeight="1" s="12">
      <c r="A267" s="2" t="n"/>
      <c r="B267" s="2" t="n"/>
    </row>
    <row r="268" ht="15.75" customHeight="1" s="12">
      <c r="A268" s="2" t="n"/>
      <c r="B268" s="2" t="n"/>
    </row>
    <row r="269" ht="15.75" customHeight="1" s="12">
      <c r="A269" s="2" t="n"/>
      <c r="B269" s="2" t="n"/>
    </row>
    <row r="270" ht="15.75" customHeight="1" s="12">
      <c r="A270" s="2" t="n"/>
      <c r="B270" s="2" t="n"/>
    </row>
    <row r="271" ht="15.75" customHeight="1" s="12">
      <c r="A271" s="2" t="n"/>
      <c r="B271" s="2" t="n"/>
    </row>
    <row r="272" ht="15.75" customHeight="1" s="12">
      <c r="A272" s="2" t="n"/>
      <c r="B272" s="2" t="n"/>
    </row>
    <row r="273" ht="15.75" customHeight="1" s="12">
      <c r="A273" s="2" t="n"/>
      <c r="B273" s="2" t="n"/>
    </row>
    <row r="274" ht="15.75" customHeight="1" s="12">
      <c r="A274" s="2" t="n"/>
      <c r="B274" s="2" t="n"/>
    </row>
    <row r="275" ht="15.75" customHeight="1" s="12">
      <c r="A275" s="2" t="n"/>
      <c r="B275" s="2" t="n"/>
    </row>
    <row r="276" ht="15.75" customHeight="1" s="12">
      <c r="A276" s="2" t="n"/>
      <c r="B276" s="2" t="n"/>
    </row>
    <row r="277" ht="15.75" customHeight="1" s="12">
      <c r="A277" s="2" t="n"/>
      <c r="B277" s="2" t="n"/>
    </row>
    <row r="278" ht="15.75" customHeight="1" s="12">
      <c r="A278" s="2" t="n"/>
      <c r="B278" s="2" t="n"/>
    </row>
    <row r="279" ht="15.75" customHeight="1" s="12">
      <c r="A279" s="2" t="n"/>
      <c r="B279" s="2" t="n"/>
    </row>
    <row r="280" ht="15.75" customHeight="1" s="12">
      <c r="A280" s="2" t="n"/>
      <c r="B280" s="2" t="n"/>
    </row>
    <row r="281" ht="15.75" customHeight="1" s="12">
      <c r="A281" s="2" t="n"/>
      <c r="B281" s="2" t="n"/>
    </row>
    <row r="282" ht="15.75" customHeight="1" s="12">
      <c r="A282" s="2" t="n"/>
      <c r="B282" s="2" t="n"/>
    </row>
    <row r="283" ht="15.75" customHeight="1" s="12">
      <c r="A283" s="2" t="n"/>
      <c r="B283" s="2" t="n"/>
    </row>
    <row r="284" ht="15.75" customHeight="1" s="12">
      <c r="A284" s="2" t="n"/>
      <c r="B284" s="2" t="n"/>
    </row>
    <row r="285" ht="15.75" customHeight="1" s="12">
      <c r="A285" s="2" t="n"/>
      <c r="B285" s="2" t="n"/>
    </row>
    <row r="286" ht="15.75" customHeight="1" s="12">
      <c r="A286" s="2" t="n"/>
      <c r="B286" s="2" t="n"/>
    </row>
    <row r="287" ht="15.75" customHeight="1" s="12">
      <c r="A287" s="2" t="n"/>
      <c r="B287" s="2" t="n"/>
    </row>
    <row r="288" ht="15.75" customHeight="1" s="12">
      <c r="A288" s="2" t="n"/>
      <c r="B288" s="2" t="n"/>
    </row>
    <row r="289" ht="15.75" customHeight="1" s="12">
      <c r="A289" s="2" t="n"/>
      <c r="B289" s="2" t="n"/>
    </row>
    <row r="290" ht="15.75" customHeight="1" s="12">
      <c r="A290" s="2" t="n"/>
      <c r="B290" s="2" t="n"/>
    </row>
    <row r="291" ht="15.75" customHeight="1" s="12">
      <c r="A291" s="2" t="n"/>
      <c r="B291" s="2" t="n"/>
    </row>
    <row r="292" ht="15.75" customHeight="1" s="12">
      <c r="A292" s="2" t="n"/>
      <c r="B292" s="2" t="n"/>
    </row>
    <row r="293" ht="15.75" customHeight="1" s="12">
      <c r="A293" s="2" t="n"/>
      <c r="B293" s="2" t="n"/>
    </row>
    <row r="294" ht="15.75" customHeight="1" s="12">
      <c r="A294" s="2" t="n"/>
      <c r="B294" s="2" t="n"/>
    </row>
    <row r="295" ht="15.75" customHeight="1" s="12">
      <c r="A295" s="2" t="n"/>
      <c r="B295" s="2" t="n"/>
    </row>
    <row r="296" ht="15.75" customHeight="1" s="12">
      <c r="A296" s="2" t="n"/>
      <c r="B296" s="2" t="n"/>
    </row>
    <row r="297" ht="15.75" customHeight="1" s="12">
      <c r="A297" s="2" t="n"/>
      <c r="B297" s="2" t="n"/>
    </row>
    <row r="298" ht="15.75" customHeight="1" s="12">
      <c r="A298" s="2" t="n"/>
      <c r="B298" s="2" t="n"/>
    </row>
    <row r="299" ht="15.75" customHeight="1" s="12">
      <c r="A299" s="2" t="n"/>
      <c r="B299" s="2" t="n"/>
    </row>
    <row r="300" ht="15.75" customHeight="1" s="12">
      <c r="A300" s="2" t="n"/>
      <c r="B300" s="2" t="n"/>
    </row>
    <row r="301" ht="15.75" customHeight="1" s="12">
      <c r="A301" s="2" t="n"/>
      <c r="B301" s="2" t="n"/>
    </row>
    <row r="302" ht="15.75" customHeight="1" s="12">
      <c r="A302" s="2" t="n"/>
      <c r="B302" s="2" t="n"/>
    </row>
    <row r="303" ht="15.75" customHeight="1" s="12">
      <c r="A303" s="2" t="n"/>
      <c r="B303" s="2" t="n"/>
    </row>
    <row r="304" ht="15.75" customHeight="1" s="12">
      <c r="A304" s="2" t="n"/>
      <c r="B304" s="2" t="n"/>
    </row>
    <row r="305" ht="15.75" customHeight="1" s="12">
      <c r="A305" s="2" t="n"/>
      <c r="B305" s="2" t="n"/>
    </row>
    <row r="306" ht="15.75" customHeight="1" s="12">
      <c r="A306" s="2" t="n"/>
      <c r="B306" s="2" t="n"/>
    </row>
    <row r="307" ht="15.75" customHeight="1" s="12">
      <c r="A307" s="2" t="n"/>
      <c r="B307" s="2" t="n"/>
    </row>
    <row r="308" ht="15.75" customHeight="1" s="12">
      <c r="A308" s="2" t="n"/>
      <c r="B308" s="2" t="n"/>
    </row>
    <row r="309" ht="15.75" customHeight="1" s="12">
      <c r="A309" s="2" t="n"/>
      <c r="B309" s="2" t="n"/>
    </row>
    <row r="310" ht="15.75" customHeight="1" s="12">
      <c r="A310" s="2" t="n"/>
      <c r="B310" s="2" t="n"/>
    </row>
    <row r="311" ht="15.75" customHeight="1" s="12">
      <c r="A311" s="2" t="n"/>
      <c r="B311" s="2" t="n"/>
    </row>
    <row r="312" ht="15.75" customHeight="1" s="12">
      <c r="A312" s="2" t="n"/>
      <c r="B312" s="2" t="n"/>
    </row>
    <row r="313" ht="15.75" customHeight="1" s="12">
      <c r="A313" s="2" t="n"/>
      <c r="B313" s="2" t="n"/>
    </row>
    <row r="314" ht="15.75" customHeight="1" s="12">
      <c r="A314" s="2" t="n"/>
      <c r="B314" s="2" t="n"/>
    </row>
    <row r="315" ht="15.75" customHeight="1" s="12">
      <c r="A315" s="2" t="n"/>
      <c r="B315" s="2" t="n"/>
    </row>
    <row r="316" ht="15.75" customHeight="1" s="12">
      <c r="A316" s="2" t="n"/>
      <c r="B316" s="2" t="n"/>
    </row>
    <row r="317" ht="15.75" customHeight="1" s="12">
      <c r="A317" s="2" t="n"/>
      <c r="B317" s="2" t="n"/>
    </row>
    <row r="318" ht="15.75" customHeight="1" s="12">
      <c r="A318" s="2" t="n"/>
      <c r="B318" s="2" t="n"/>
    </row>
    <row r="319" ht="15.75" customHeight="1" s="12">
      <c r="A319" s="2" t="n"/>
      <c r="B319" s="2" t="n"/>
    </row>
    <row r="320" ht="15.75" customHeight="1" s="12">
      <c r="A320" s="2" t="n"/>
      <c r="B320" s="2" t="n"/>
    </row>
    <row r="321" ht="15.75" customHeight="1" s="12">
      <c r="A321" s="2" t="n"/>
      <c r="B321" s="2" t="n"/>
    </row>
    <row r="322" ht="15.75" customHeight="1" s="12">
      <c r="A322" s="2" t="n"/>
      <c r="B322" s="2" t="n"/>
    </row>
    <row r="323" ht="15.75" customHeight="1" s="12">
      <c r="A323" s="2" t="n"/>
      <c r="B323" s="2" t="n"/>
    </row>
    <row r="324" ht="15.75" customHeight="1" s="12">
      <c r="A324" s="2" t="n"/>
      <c r="B324" s="2" t="n"/>
    </row>
    <row r="325" ht="15.75" customHeight="1" s="12">
      <c r="A325" s="2" t="n"/>
      <c r="B325" s="2" t="n"/>
    </row>
    <row r="326" ht="15.75" customHeight="1" s="12">
      <c r="A326" s="2" t="n"/>
      <c r="B326" s="2" t="n"/>
    </row>
    <row r="327" ht="15.75" customHeight="1" s="12">
      <c r="A327" s="2" t="n"/>
      <c r="B327" s="2" t="n"/>
    </row>
    <row r="328" ht="15.75" customHeight="1" s="12">
      <c r="A328" s="2" t="n"/>
      <c r="B328" s="2" t="n"/>
    </row>
    <row r="329" ht="15.75" customHeight="1" s="12">
      <c r="A329" s="2" t="n"/>
      <c r="B329" s="2" t="n"/>
    </row>
    <row r="330" ht="15.75" customHeight="1" s="12">
      <c r="A330" s="2" t="n"/>
      <c r="B330" s="2" t="n"/>
    </row>
    <row r="331" ht="15.75" customHeight="1" s="12">
      <c r="A331" s="2" t="n"/>
      <c r="B331" s="2" t="n"/>
    </row>
    <row r="332" ht="15.75" customHeight="1" s="12">
      <c r="A332" s="2" t="n"/>
      <c r="B332" s="2" t="n"/>
    </row>
    <row r="333" ht="15.75" customHeight="1" s="12">
      <c r="A333" s="2" t="n"/>
      <c r="B333" s="2" t="n"/>
    </row>
    <row r="334" ht="15.75" customHeight="1" s="12">
      <c r="A334" s="2" t="n"/>
      <c r="B334" s="2" t="n"/>
    </row>
    <row r="335" ht="15.75" customHeight="1" s="12">
      <c r="A335" s="2" t="n"/>
      <c r="B335" s="2" t="n"/>
    </row>
    <row r="336" ht="15.75" customHeight="1" s="12">
      <c r="A336" s="2" t="n"/>
      <c r="B336" s="2" t="n"/>
    </row>
    <row r="337" ht="15.75" customHeight="1" s="12">
      <c r="A337" s="2" t="n"/>
      <c r="B337" s="2" t="n"/>
    </row>
    <row r="338" ht="15.75" customHeight="1" s="12">
      <c r="A338" s="2" t="n"/>
      <c r="B338" s="2" t="n"/>
    </row>
    <row r="339" ht="15.75" customHeight="1" s="12">
      <c r="A339" s="2" t="n"/>
      <c r="B339" s="2" t="n"/>
    </row>
    <row r="340" ht="15.75" customHeight="1" s="12">
      <c r="A340" s="2" t="n"/>
      <c r="B340" s="2" t="n"/>
    </row>
    <row r="341" ht="15.75" customHeight="1" s="12">
      <c r="A341" s="2" t="n"/>
      <c r="B341" s="2" t="n"/>
    </row>
    <row r="342" ht="15.75" customHeight="1" s="12">
      <c r="A342" s="2" t="n"/>
      <c r="B342" s="2" t="n"/>
    </row>
    <row r="343" ht="15.75" customHeight="1" s="12">
      <c r="A343" s="2" t="n"/>
      <c r="B343" s="2" t="n"/>
    </row>
    <row r="344" ht="15.75" customHeight="1" s="12">
      <c r="A344" s="2" t="n"/>
      <c r="B344" s="2" t="n"/>
    </row>
    <row r="345" ht="15.75" customHeight="1" s="12">
      <c r="A345" s="2" t="n"/>
      <c r="B345" s="2" t="n"/>
    </row>
    <row r="346" ht="15.75" customHeight="1" s="12">
      <c r="A346" s="2" t="n"/>
      <c r="B346" s="2" t="n"/>
    </row>
    <row r="347" ht="15.75" customHeight="1" s="12">
      <c r="A347" s="2" t="n"/>
      <c r="B347" s="2" t="n"/>
    </row>
    <row r="348" ht="15.75" customHeight="1" s="12">
      <c r="A348" s="2" t="n"/>
      <c r="B348" s="2" t="n"/>
    </row>
    <row r="349" ht="15.75" customHeight="1" s="12">
      <c r="A349" s="2" t="n"/>
      <c r="B349" s="2" t="n"/>
    </row>
    <row r="350" ht="15.75" customHeight="1" s="12">
      <c r="A350" s="2" t="n"/>
      <c r="B350" s="2" t="n"/>
    </row>
    <row r="351" ht="15.75" customHeight="1" s="12">
      <c r="A351" s="2" t="n"/>
      <c r="B351" s="2" t="n"/>
    </row>
    <row r="352" ht="15.75" customHeight="1" s="12">
      <c r="A352" s="2" t="n"/>
      <c r="B352" s="2" t="n"/>
    </row>
    <row r="353" ht="15.75" customHeight="1" s="12">
      <c r="A353" s="2" t="n"/>
      <c r="B353" s="2" t="n"/>
    </row>
    <row r="354" ht="15.75" customHeight="1" s="12">
      <c r="A354" s="2" t="n"/>
      <c r="B354" s="2" t="n"/>
    </row>
    <row r="355" ht="15.75" customHeight="1" s="12">
      <c r="A355" s="2" t="n"/>
      <c r="B355" s="2" t="n"/>
    </row>
    <row r="356" ht="15.75" customHeight="1" s="12">
      <c r="A356" s="2" t="n"/>
      <c r="B356" s="2" t="n"/>
    </row>
    <row r="357" ht="15.75" customHeight="1" s="12">
      <c r="A357" s="2" t="n"/>
      <c r="B357" s="2" t="n"/>
    </row>
    <row r="358" ht="15.75" customHeight="1" s="12">
      <c r="A358" s="2" t="n"/>
      <c r="B358" s="2" t="n"/>
    </row>
    <row r="359" ht="15.75" customHeight="1" s="12">
      <c r="A359" s="2" t="n"/>
      <c r="B359" s="2" t="n"/>
    </row>
    <row r="360" ht="15.75" customHeight="1" s="12">
      <c r="A360" s="2" t="n"/>
      <c r="B360" s="2" t="n"/>
    </row>
    <row r="361" ht="15.75" customHeight="1" s="12">
      <c r="A361" s="2" t="n"/>
      <c r="B361" s="2" t="n"/>
    </row>
    <row r="362" ht="15.75" customHeight="1" s="12">
      <c r="A362" s="2" t="n"/>
      <c r="B362" s="2" t="n"/>
    </row>
    <row r="363" ht="15.75" customHeight="1" s="12">
      <c r="A363" s="2" t="n"/>
      <c r="B363" s="2" t="n"/>
    </row>
    <row r="364" ht="15.75" customHeight="1" s="12">
      <c r="A364" s="2" t="n"/>
      <c r="B364" s="2" t="n"/>
    </row>
    <row r="365" ht="15.75" customHeight="1" s="12">
      <c r="A365" s="2" t="n"/>
      <c r="B365" s="2" t="n"/>
    </row>
    <row r="366" ht="15.75" customHeight="1" s="12">
      <c r="A366" s="2" t="n"/>
      <c r="B366" s="2" t="n"/>
    </row>
    <row r="367" ht="15.75" customHeight="1" s="12">
      <c r="A367" s="2" t="n"/>
      <c r="B367" s="2" t="n"/>
    </row>
    <row r="368" ht="15.75" customHeight="1" s="12">
      <c r="A368" s="2" t="n"/>
      <c r="B368" s="2" t="n"/>
    </row>
    <row r="369" ht="15.75" customHeight="1" s="12">
      <c r="A369" s="2" t="n"/>
      <c r="B369" s="2" t="n"/>
    </row>
    <row r="370" ht="15.75" customHeight="1" s="12">
      <c r="A370" s="2" t="n"/>
      <c r="B370" s="2" t="n"/>
    </row>
    <row r="371" ht="15.75" customHeight="1" s="12">
      <c r="A371" s="2" t="n"/>
      <c r="B371" s="2" t="n"/>
    </row>
    <row r="372" ht="15.75" customHeight="1" s="12">
      <c r="A372" s="2" t="n"/>
      <c r="B372" s="2" t="n"/>
    </row>
    <row r="373" ht="15.75" customHeight="1" s="12">
      <c r="A373" s="2" t="n"/>
      <c r="B373" s="2" t="n"/>
    </row>
    <row r="374" ht="15.75" customHeight="1" s="12">
      <c r="A374" s="2" t="n"/>
      <c r="B374" s="2" t="n"/>
    </row>
    <row r="375" ht="15.75" customHeight="1" s="12">
      <c r="A375" s="2" t="n"/>
      <c r="B375" s="2" t="n"/>
    </row>
    <row r="376" ht="15.75" customHeight="1" s="12">
      <c r="A376" s="2" t="n"/>
      <c r="B376" s="2" t="n"/>
    </row>
    <row r="377" ht="15.75" customHeight="1" s="12">
      <c r="A377" s="2" t="n"/>
      <c r="B377" s="2" t="n"/>
    </row>
    <row r="378" ht="15.75" customHeight="1" s="12">
      <c r="A378" s="2" t="n"/>
      <c r="B378" s="2" t="n"/>
    </row>
    <row r="379" ht="15.75" customHeight="1" s="12">
      <c r="A379" s="2" t="n"/>
      <c r="B379" s="2" t="n"/>
    </row>
    <row r="380" ht="15.75" customHeight="1" s="12">
      <c r="A380" s="2" t="n"/>
      <c r="B380" s="2" t="n"/>
    </row>
    <row r="381" ht="15.75" customHeight="1" s="12">
      <c r="A381" s="2" t="n"/>
      <c r="B381" s="2" t="n"/>
    </row>
    <row r="382" ht="15.75" customHeight="1" s="12">
      <c r="A382" s="2" t="n"/>
      <c r="B382" s="2" t="n"/>
    </row>
    <row r="383" ht="15.75" customHeight="1" s="12">
      <c r="A383" s="2" t="n"/>
      <c r="B383" s="2" t="n"/>
    </row>
    <row r="384" ht="15.75" customHeight="1" s="12">
      <c r="A384" s="2" t="n"/>
      <c r="B384" s="2" t="n"/>
    </row>
    <row r="385" ht="15.75" customHeight="1" s="12">
      <c r="A385" s="2" t="n"/>
      <c r="B385" s="2" t="n"/>
    </row>
    <row r="386" ht="15.75" customHeight="1" s="12">
      <c r="A386" s="2" t="n"/>
      <c r="B386" s="2" t="n"/>
    </row>
    <row r="387" ht="15.75" customHeight="1" s="12">
      <c r="A387" s="2" t="n"/>
      <c r="B387" s="2" t="n"/>
    </row>
    <row r="388" ht="15.75" customHeight="1" s="12">
      <c r="A388" s="2" t="n"/>
      <c r="B388" s="2" t="n"/>
    </row>
    <row r="389" ht="15.75" customHeight="1" s="12">
      <c r="A389" s="2" t="n"/>
      <c r="B389" s="2" t="n"/>
    </row>
    <row r="390" ht="15.75" customHeight="1" s="12">
      <c r="A390" s="2" t="n"/>
      <c r="B390" s="2" t="n"/>
    </row>
    <row r="391" ht="15.75" customHeight="1" s="12">
      <c r="A391" s="2" t="n"/>
      <c r="B391" s="2" t="n"/>
    </row>
    <row r="392" ht="15.75" customHeight="1" s="12">
      <c r="A392" s="2" t="n"/>
      <c r="B392" s="2" t="n"/>
    </row>
    <row r="393" ht="15.75" customHeight="1" s="12">
      <c r="A393" s="2" t="n"/>
      <c r="B393" s="2" t="n"/>
    </row>
    <row r="394" ht="15.75" customHeight="1" s="12">
      <c r="A394" s="2" t="n"/>
      <c r="B394" s="2" t="n"/>
    </row>
    <row r="395" ht="15.75" customHeight="1" s="12">
      <c r="A395" s="2" t="n"/>
      <c r="B395" s="2" t="n"/>
    </row>
    <row r="396" ht="15.75" customHeight="1" s="12">
      <c r="A396" s="2" t="n"/>
      <c r="B396" s="2" t="n"/>
    </row>
    <row r="397" ht="15.75" customHeight="1" s="12">
      <c r="A397" s="2" t="n"/>
      <c r="B397" s="2" t="n"/>
    </row>
    <row r="398" ht="15.75" customHeight="1" s="12">
      <c r="A398" s="2" t="n"/>
      <c r="B398" s="2" t="n"/>
    </row>
    <row r="399" ht="15.75" customHeight="1" s="12">
      <c r="A399" s="2" t="n"/>
      <c r="B399" s="2" t="n"/>
    </row>
    <row r="400" ht="15.75" customHeight="1" s="12">
      <c r="A400" s="2" t="n"/>
      <c r="B400" s="2" t="n"/>
    </row>
    <row r="401" ht="15.75" customHeight="1" s="12">
      <c r="A401" s="2" t="n"/>
      <c r="B401" s="2" t="n"/>
    </row>
    <row r="402" ht="15.75" customHeight="1" s="12">
      <c r="A402" s="2" t="n"/>
      <c r="B402" s="2" t="n"/>
    </row>
    <row r="403" ht="15.75" customHeight="1" s="12">
      <c r="A403" s="2" t="n"/>
      <c r="B403" s="2" t="n"/>
    </row>
    <row r="404" ht="15.75" customHeight="1" s="12">
      <c r="A404" s="2" t="n"/>
      <c r="B404" s="2" t="n"/>
    </row>
    <row r="405" ht="15.75" customHeight="1" s="12">
      <c r="A405" s="2" t="n"/>
      <c r="B405" s="2" t="n"/>
    </row>
    <row r="406" ht="15.75" customHeight="1" s="12">
      <c r="A406" s="2" t="n"/>
      <c r="B406" s="2" t="n"/>
    </row>
    <row r="407" ht="15.75" customHeight="1" s="12">
      <c r="A407" s="2" t="n"/>
      <c r="B407" s="2" t="n"/>
    </row>
    <row r="408" ht="15.75" customHeight="1" s="12">
      <c r="A408" s="2" t="n"/>
      <c r="B408" s="2" t="n"/>
    </row>
    <row r="409" ht="15.75" customHeight="1" s="12">
      <c r="A409" s="2" t="n"/>
      <c r="B409" s="2" t="n"/>
    </row>
    <row r="410" ht="15.75" customHeight="1" s="12">
      <c r="A410" s="2" t="n"/>
      <c r="B410" s="2" t="n"/>
    </row>
    <row r="411" ht="15.75" customHeight="1" s="12">
      <c r="A411" s="2" t="n"/>
      <c r="B411" s="2" t="n"/>
    </row>
    <row r="412" ht="15.75" customHeight="1" s="12">
      <c r="A412" s="2" t="n"/>
      <c r="B412" s="2" t="n"/>
    </row>
    <row r="413" ht="15.75" customHeight="1" s="12">
      <c r="A413" s="2" t="n"/>
      <c r="B413" s="2" t="n"/>
    </row>
    <row r="414" ht="15.75" customHeight="1" s="12">
      <c r="A414" s="2" t="n"/>
      <c r="B414" s="2" t="n"/>
    </row>
    <row r="415" ht="15.75" customHeight="1" s="12">
      <c r="A415" s="2" t="n"/>
      <c r="B415" s="2" t="n"/>
    </row>
    <row r="416" ht="15.75" customHeight="1" s="12">
      <c r="A416" s="2" t="n"/>
      <c r="B416" s="2" t="n"/>
    </row>
    <row r="417" ht="15.75" customHeight="1" s="12">
      <c r="A417" s="2" t="n"/>
      <c r="B417" s="2" t="n"/>
    </row>
    <row r="418" ht="15.75" customHeight="1" s="12">
      <c r="A418" s="2" t="n"/>
      <c r="B418" s="2" t="n"/>
    </row>
    <row r="419" ht="15.75" customHeight="1" s="12">
      <c r="A419" s="2" t="n"/>
      <c r="B419" s="2" t="n"/>
    </row>
    <row r="420" ht="15.75" customHeight="1" s="12">
      <c r="A420" s="2" t="n"/>
      <c r="B420" s="2" t="n"/>
    </row>
    <row r="421" ht="15.75" customHeight="1" s="12">
      <c r="A421" s="2" t="n"/>
      <c r="B421" s="2" t="n"/>
    </row>
    <row r="422" ht="15.75" customHeight="1" s="12">
      <c r="A422" s="2" t="n"/>
      <c r="B422" s="2" t="n"/>
    </row>
    <row r="423" ht="15.75" customHeight="1" s="12">
      <c r="A423" s="2" t="n"/>
      <c r="B423" s="2" t="n"/>
    </row>
    <row r="424" ht="15.75" customHeight="1" s="12">
      <c r="A424" s="2" t="n"/>
      <c r="B424" s="2" t="n"/>
    </row>
    <row r="425" ht="15.75" customHeight="1" s="12">
      <c r="A425" s="2" t="n"/>
      <c r="B425" s="2" t="n"/>
    </row>
    <row r="426" ht="15.75" customHeight="1" s="12">
      <c r="A426" s="2" t="n"/>
      <c r="B426" s="2" t="n"/>
    </row>
    <row r="427" ht="15.75" customHeight="1" s="12">
      <c r="A427" s="2" t="n"/>
      <c r="B427" s="2" t="n"/>
    </row>
    <row r="428" ht="15.75" customHeight="1" s="12">
      <c r="A428" s="2" t="n"/>
      <c r="B428" s="2" t="n"/>
    </row>
    <row r="429" ht="15.75" customHeight="1" s="12">
      <c r="A429" s="2" t="n"/>
      <c r="B429" s="2" t="n"/>
    </row>
    <row r="430" ht="15.75" customHeight="1" s="12">
      <c r="A430" s="2" t="n"/>
      <c r="B430" s="2" t="n"/>
    </row>
    <row r="431" ht="15.75" customHeight="1" s="12">
      <c r="A431" s="2" t="n"/>
      <c r="B431" s="2" t="n"/>
    </row>
    <row r="432" ht="15.75" customHeight="1" s="12">
      <c r="A432" s="2" t="n"/>
      <c r="B432" s="2" t="n"/>
    </row>
    <row r="433" ht="15.75" customHeight="1" s="12">
      <c r="A433" s="2" t="n"/>
      <c r="B433" s="2" t="n"/>
    </row>
    <row r="434" ht="15.75" customHeight="1" s="12">
      <c r="A434" s="2" t="n"/>
      <c r="B434" s="2" t="n"/>
    </row>
    <row r="435" ht="15.75" customHeight="1" s="12">
      <c r="A435" s="2" t="n"/>
      <c r="B435" s="2" t="n"/>
    </row>
    <row r="436" ht="15.75" customHeight="1" s="12">
      <c r="A436" s="2" t="n"/>
      <c r="B436" s="2" t="n"/>
    </row>
    <row r="437" ht="15.75" customHeight="1" s="12">
      <c r="A437" s="2" t="n"/>
      <c r="B437" s="2" t="n"/>
    </row>
    <row r="438" ht="15.75" customHeight="1" s="12">
      <c r="A438" s="2" t="n"/>
      <c r="B438" s="2" t="n"/>
    </row>
    <row r="439" ht="15.75" customHeight="1" s="12">
      <c r="A439" s="2" t="n"/>
      <c r="B439" s="2" t="n"/>
    </row>
    <row r="440" ht="15.75" customHeight="1" s="12">
      <c r="A440" s="2" t="n"/>
      <c r="B440" s="2" t="n"/>
    </row>
    <row r="441" ht="15.75" customHeight="1" s="12">
      <c r="A441" s="2" t="n"/>
      <c r="B441" s="2" t="n"/>
    </row>
    <row r="442" ht="15.75" customHeight="1" s="12">
      <c r="A442" s="2" t="n"/>
      <c r="B442" s="2" t="n"/>
    </row>
    <row r="443" ht="15.75" customHeight="1" s="12">
      <c r="A443" s="2" t="n"/>
      <c r="B443" s="2" t="n"/>
    </row>
    <row r="444" ht="15.75" customHeight="1" s="12">
      <c r="A444" s="2" t="n"/>
      <c r="B444" s="2" t="n"/>
    </row>
    <row r="445" ht="15.75" customHeight="1" s="12">
      <c r="A445" s="2" t="n"/>
      <c r="B445" s="2" t="n"/>
    </row>
    <row r="446" ht="15.75" customHeight="1" s="12">
      <c r="A446" s="2" t="n"/>
      <c r="B446" s="2" t="n"/>
    </row>
    <row r="447" ht="15.75" customHeight="1" s="12">
      <c r="A447" s="2" t="n"/>
      <c r="B447" s="2" t="n"/>
    </row>
    <row r="448" ht="15.75" customHeight="1" s="12">
      <c r="A448" s="2" t="n"/>
      <c r="B448" s="2" t="n"/>
    </row>
    <row r="449" ht="15.75" customHeight="1" s="12">
      <c r="A449" s="2" t="n"/>
      <c r="B449" s="2" t="n"/>
    </row>
    <row r="450" ht="15.75" customHeight="1" s="12">
      <c r="A450" s="2" t="n"/>
      <c r="B450" s="2" t="n"/>
    </row>
    <row r="451" ht="15.75" customHeight="1" s="12">
      <c r="A451" s="2" t="n"/>
      <c r="B451" s="2" t="n"/>
    </row>
    <row r="452" ht="15.75" customHeight="1" s="12">
      <c r="A452" s="2" t="n"/>
      <c r="B452" s="2" t="n"/>
    </row>
    <row r="453" ht="15.75" customHeight="1" s="12">
      <c r="A453" s="2" t="n"/>
      <c r="B453" s="2" t="n"/>
    </row>
    <row r="454" ht="15.75" customHeight="1" s="12">
      <c r="A454" s="2" t="n"/>
      <c r="B454" s="2" t="n"/>
    </row>
    <row r="455" ht="15.75" customHeight="1" s="12">
      <c r="A455" s="2" t="n"/>
      <c r="B455" s="2" t="n"/>
    </row>
    <row r="456" ht="15.75" customHeight="1" s="12">
      <c r="A456" s="2" t="n"/>
      <c r="B456" s="2" t="n"/>
    </row>
    <row r="457" ht="15.75" customHeight="1" s="12">
      <c r="A457" s="2" t="n"/>
      <c r="B457" s="2" t="n"/>
    </row>
    <row r="458" ht="15.75" customHeight="1" s="12">
      <c r="A458" s="2" t="n"/>
      <c r="B458" s="2" t="n"/>
    </row>
    <row r="459" ht="15.75" customHeight="1" s="12">
      <c r="A459" s="2" t="n"/>
      <c r="B459" s="2" t="n"/>
    </row>
    <row r="460" ht="15.75" customHeight="1" s="12">
      <c r="A460" s="2" t="n"/>
      <c r="B460" s="2" t="n"/>
    </row>
    <row r="461" ht="15.75" customHeight="1" s="12">
      <c r="A461" s="2" t="n"/>
      <c r="B461" s="2" t="n"/>
    </row>
    <row r="462" ht="15.75" customHeight="1" s="12">
      <c r="A462" s="2" t="n"/>
      <c r="B462" s="2" t="n"/>
    </row>
    <row r="463" ht="15.75" customHeight="1" s="12">
      <c r="A463" s="2" t="n"/>
      <c r="B463" s="2" t="n"/>
    </row>
    <row r="464" ht="15.75" customHeight="1" s="12">
      <c r="A464" s="2" t="n"/>
      <c r="B464" s="2" t="n"/>
    </row>
    <row r="465" ht="15.75" customHeight="1" s="12">
      <c r="A465" s="2" t="n"/>
      <c r="B465" s="2" t="n"/>
    </row>
    <row r="466" ht="15.75" customHeight="1" s="12">
      <c r="A466" s="2" t="n"/>
      <c r="B466" s="2" t="n"/>
    </row>
    <row r="467" ht="15.75" customHeight="1" s="12">
      <c r="A467" s="2" t="n"/>
      <c r="B467" s="2" t="n"/>
    </row>
    <row r="468" ht="15.75" customHeight="1" s="12">
      <c r="A468" s="2" t="n"/>
      <c r="B468" s="2" t="n"/>
    </row>
    <row r="469" ht="15.75" customHeight="1" s="12">
      <c r="A469" s="2" t="n"/>
      <c r="B469" s="2" t="n"/>
    </row>
    <row r="470" ht="15.75" customHeight="1" s="12">
      <c r="A470" s="2" t="n"/>
      <c r="B470" s="2" t="n"/>
    </row>
    <row r="471" ht="15.75" customHeight="1" s="12">
      <c r="A471" s="2" t="n"/>
      <c r="B471" s="2" t="n"/>
    </row>
    <row r="472" ht="15.75" customHeight="1" s="12">
      <c r="A472" s="2" t="n"/>
      <c r="B472" s="2" t="n"/>
    </row>
    <row r="473" ht="15.75" customHeight="1" s="12">
      <c r="A473" s="2" t="n"/>
      <c r="B473" s="2" t="n"/>
    </row>
    <row r="474" ht="15.75" customHeight="1" s="12">
      <c r="A474" s="2" t="n"/>
      <c r="B474" s="2" t="n"/>
    </row>
    <row r="475" ht="15.75" customHeight="1" s="12">
      <c r="A475" s="2" t="n"/>
      <c r="B475" s="2" t="n"/>
    </row>
    <row r="476" ht="15.75" customHeight="1" s="12">
      <c r="A476" s="2" t="n"/>
      <c r="B476" s="2" t="n"/>
    </row>
    <row r="477" ht="15.75" customHeight="1" s="12">
      <c r="A477" s="2" t="n"/>
      <c r="B477" s="2" t="n"/>
    </row>
    <row r="478" ht="15.75" customHeight="1" s="12">
      <c r="A478" s="2" t="n"/>
      <c r="B478" s="2" t="n"/>
    </row>
    <row r="479" ht="15.75" customHeight="1" s="12">
      <c r="A479" s="2" t="n"/>
      <c r="B479" s="2" t="n"/>
    </row>
    <row r="480" ht="15.75" customHeight="1" s="12">
      <c r="A480" s="2" t="n"/>
      <c r="B480" s="2" t="n"/>
    </row>
    <row r="481" ht="15.75" customHeight="1" s="12">
      <c r="A481" s="2" t="n"/>
      <c r="B481" s="2" t="n"/>
    </row>
    <row r="482" ht="15.75" customHeight="1" s="12">
      <c r="A482" s="2" t="n"/>
      <c r="B482" s="2" t="n"/>
    </row>
    <row r="483" ht="15.75" customHeight="1" s="12">
      <c r="A483" s="2" t="n"/>
      <c r="B483" s="2" t="n"/>
    </row>
    <row r="484" ht="15.75" customHeight="1" s="12">
      <c r="A484" s="2" t="n"/>
      <c r="B484" s="2" t="n"/>
    </row>
    <row r="485" ht="15.75" customHeight="1" s="12">
      <c r="A485" s="2" t="n"/>
      <c r="B485" s="2" t="n"/>
    </row>
    <row r="486" ht="15.75" customHeight="1" s="12">
      <c r="A486" s="2" t="n"/>
      <c r="B486" s="2" t="n"/>
    </row>
    <row r="487" ht="15.75" customHeight="1" s="12">
      <c r="A487" s="2" t="n"/>
      <c r="B487" s="2" t="n"/>
    </row>
    <row r="488" ht="15.75" customHeight="1" s="12">
      <c r="A488" s="2" t="n"/>
      <c r="B488" s="2" t="n"/>
    </row>
    <row r="489" ht="15.75" customHeight="1" s="12">
      <c r="A489" s="2" t="n"/>
      <c r="B489" s="2" t="n"/>
    </row>
    <row r="490" ht="15.75" customHeight="1" s="12">
      <c r="A490" s="2" t="n"/>
      <c r="B490" s="2" t="n"/>
    </row>
    <row r="491" ht="15.75" customHeight="1" s="12">
      <c r="A491" s="2" t="n"/>
      <c r="B491" s="2" t="n"/>
    </row>
    <row r="492" ht="15.75" customHeight="1" s="12">
      <c r="A492" s="2" t="n"/>
      <c r="B492" s="2" t="n"/>
    </row>
    <row r="493" ht="15.75" customHeight="1" s="12">
      <c r="A493" s="2" t="n"/>
      <c r="B493" s="2" t="n"/>
    </row>
    <row r="494" ht="15.75" customHeight="1" s="12">
      <c r="A494" s="2" t="n"/>
      <c r="B494" s="2" t="n"/>
    </row>
    <row r="495" ht="15.75" customHeight="1" s="12">
      <c r="A495" s="2" t="n"/>
      <c r="B495" s="2" t="n"/>
    </row>
    <row r="496" ht="15.75" customHeight="1" s="12">
      <c r="A496" s="2" t="n"/>
      <c r="B496" s="2" t="n"/>
    </row>
    <row r="497" ht="15.75" customHeight="1" s="12">
      <c r="A497" s="2" t="n"/>
      <c r="B497" s="2" t="n"/>
    </row>
    <row r="498" ht="15.75" customHeight="1" s="12">
      <c r="A498" s="2" t="n"/>
      <c r="B498" s="2" t="n"/>
    </row>
    <row r="499" ht="15.75" customHeight="1" s="12">
      <c r="A499" s="2" t="n"/>
      <c r="B499" s="2" t="n"/>
    </row>
    <row r="500" ht="15.75" customHeight="1" s="12">
      <c r="A500" s="2" t="n"/>
      <c r="B500" s="2" t="n"/>
    </row>
    <row r="501" ht="15.75" customHeight="1" s="12">
      <c r="A501" s="2" t="n"/>
      <c r="B501" s="2" t="n"/>
    </row>
    <row r="502" ht="15.75" customHeight="1" s="12">
      <c r="A502" s="2" t="n"/>
      <c r="B502" s="2" t="n"/>
    </row>
    <row r="503" ht="15.75" customHeight="1" s="12">
      <c r="A503" s="2" t="n"/>
      <c r="B503" s="2" t="n"/>
    </row>
    <row r="504" ht="15.75" customHeight="1" s="12">
      <c r="A504" s="2" t="n"/>
      <c r="B504" s="2" t="n"/>
    </row>
    <row r="505" ht="15.75" customHeight="1" s="12">
      <c r="A505" s="2" t="n"/>
      <c r="B505" s="2" t="n"/>
    </row>
    <row r="506" ht="15.75" customHeight="1" s="12">
      <c r="A506" s="2" t="n"/>
      <c r="B506" s="2" t="n"/>
    </row>
    <row r="507" ht="15.75" customHeight="1" s="12">
      <c r="A507" s="2" t="n"/>
      <c r="B507" s="2" t="n"/>
    </row>
    <row r="508" ht="15.75" customHeight="1" s="12">
      <c r="A508" s="2" t="n"/>
      <c r="B508" s="2" t="n"/>
    </row>
    <row r="509" ht="15.75" customHeight="1" s="12">
      <c r="A509" s="2" t="n"/>
      <c r="B509" s="2" t="n"/>
    </row>
    <row r="510" ht="15.75" customHeight="1" s="12">
      <c r="A510" s="2" t="n"/>
      <c r="B510" s="2" t="n"/>
    </row>
    <row r="511" ht="15.75" customHeight="1" s="12">
      <c r="A511" s="2" t="n"/>
      <c r="B511" s="2" t="n"/>
    </row>
    <row r="512" ht="15.75" customHeight="1" s="12">
      <c r="A512" s="2" t="n"/>
      <c r="B512" s="2" t="n"/>
    </row>
    <row r="513" ht="15.75" customHeight="1" s="12">
      <c r="A513" s="2" t="n"/>
      <c r="B513" s="2" t="n"/>
    </row>
    <row r="514" ht="15.75" customHeight="1" s="12">
      <c r="A514" s="2" t="n"/>
      <c r="B514" s="2" t="n"/>
    </row>
    <row r="515" ht="15.75" customHeight="1" s="12">
      <c r="A515" s="2" t="n"/>
      <c r="B515" s="2" t="n"/>
    </row>
    <row r="516" ht="15.75" customHeight="1" s="12">
      <c r="A516" s="2" t="n"/>
      <c r="B516" s="2" t="n"/>
    </row>
    <row r="517" ht="15.75" customHeight="1" s="12">
      <c r="A517" s="2" t="n"/>
      <c r="B517" s="2" t="n"/>
    </row>
    <row r="518" ht="15.75" customHeight="1" s="12">
      <c r="A518" s="2" t="n"/>
      <c r="B518" s="2" t="n"/>
    </row>
    <row r="519" ht="15.75" customHeight="1" s="12">
      <c r="A519" s="2" t="n"/>
      <c r="B519" s="2" t="n"/>
    </row>
    <row r="520" ht="15.75" customHeight="1" s="12">
      <c r="A520" s="2" t="n"/>
      <c r="B520" s="2" t="n"/>
    </row>
    <row r="521" ht="15.75" customHeight="1" s="12">
      <c r="A521" s="2" t="n"/>
      <c r="B521" s="2" t="n"/>
    </row>
    <row r="522" ht="15.75" customHeight="1" s="12">
      <c r="A522" s="2" t="n"/>
      <c r="B522" s="2" t="n"/>
    </row>
    <row r="523" ht="15.75" customHeight="1" s="12">
      <c r="A523" s="2" t="n"/>
      <c r="B523" s="2" t="n"/>
    </row>
    <row r="524" ht="15.75" customHeight="1" s="12">
      <c r="A524" s="2" t="n"/>
      <c r="B524" s="2" t="n"/>
    </row>
    <row r="525" ht="15.75" customHeight="1" s="12">
      <c r="A525" s="2" t="n"/>
      <c r="B525" s="2" t="n"/>
    </row>
    <row r="526" ht="15.75" customHeight="1" s="12">
      <c r="A526" s="2" t="n"/>
      <c r="B526" s="2" t="n"/>
    </row>
    <row r="527" ht="15.75" customHeight="1" s="12">
      <c r="A527" s="2" t="n"/>
      <c r="B527" s="2" t="n"/>
    </row>
    <row r="528" ht="15.75" customHeight="1" s="12">
      <c r="A528" s="2" t="n"/>
      <c r="B528" s="2" t="n"/>
    </row>
    <row r="529" ht="15.75" customHeight="1" s="12">
      <c r="A529" s="2" t="n"/>
      <c r="B529" s="2" t="n"/>
    </row>
    <row r="530" ht="15.75" customHeight="1" s="12">
      <c r="A530" s="2" t="n"/>
      <c r="B530" s="2" t="n"/>
    </row>
    <row r="531" ht="15.75" customHeight="1" s="12">
      <c r="A531" s="2" t="n"/>
      <c r="B531" s="2" t="n"/>
    </row>
    <row r="532" ht="15.75" customHeight="1" s="12">
      <c r="A532" s="2" t="n"/>
      <c r="B532" s="2" t="n"/>
    </row>
    <row r="533" ht="15.75" customHeight="1" s="12">
      <c r="A533" s="2" t="n"/>
      <c r="B533" s="2" t="n"/>
    </row>
    <row r="534" ht="15.75" customHeight="1" s="12">
      <c r="A534" s="2" t="n"/>
      <c r="B534" s="2" t="n"/>
    </row>
    <row r="535" ht="15.75" customHeight="1" s="12">
      <c r="A535" s="2" t="n"/>
      <c r="B535" s="2" t="n"/>
    </row>
    <row r="536" ht="15.75" customHeight="1" s="12">
      <c r="A536" s="2" t="n"/>
      <c r="B536" s="2" t="n"/>
    </row>
    <row r="537" ht="15.75" customHeight="1" s="12">
      <c r="A537" s="2" t="n"/>
      <c r="B537" s="2" t="n"/>
    </row>
    <row r="538" ht="15.75" customHeight="1" s="12">
      <c r="A538" s="2" t="n"/>
      <c r="B538" s="2" t="n"/>
    </row>
    <row r="539" ht="15.75" customHeight="1" s="12">
      <c r="A539" s="2" t="n"/>
      <c r="B539" s="2" t="n"/>
    </row>
    <row r="540" ht="15.75" customHeight="1" s="12">
      <c r="A540" s="2" t="n"/>
      <c r="B540" s="2" t="n"/>
    </row>
    <row r="541" ht="15.75" customHeight="1" s="12">
      <c r="A541" s="2" t="n"/>
      <c r="B541" s="2" t="n"/>
    </row>
    <row r="542" ht="15.75" customHeight="1" s="12">
      <c r="A542" s="2" t="n"/>
      <c r="B542" s="2" t="n"/>
    </row>
    <row r="543" ht="15.75" customHeight="1" s="12">
      <c r="A543" s="2" t="n"/>
      <c r="B543" s="2" t="n"/>
    </row>
    <row r="544" ht="15.75" customHeight="1" s="12">
      <c r="A544" s="2" t="n"/>
      <c r="B544" s="2" t="n"/>
    </row>
    <row r="545" ht="15.75" customHeight="1" s="12">
      <c r="A545" s="2" t="n"/>
      <c r="B545" s="2" t="n"/>
    </row>
    <row r="546" ht="15.75" customHeight="1" s="12">
      <c r="A546" s="2" t="n"/>
      <c r="B546" s="2" t="n"/>
    </row>
    <row r="547" ht="15.75" customHeight="1" s="12">
      <c r="A547" s="2" t="n"/>
      <c r="B547" s="2" t="n"/>
    </row>
    <row r="548" ht="15.75" customHeight="1" s="12">
      <c r="A548" s="2" t="n"/>
      <c r="B548" s="2" t="n"/>
    </row>
    <row r="549" ht="15.75" customHeight="1" s="12">
      <c r="A549" s="2" t="n"/>
      <c r="B549" s="2" t="n"/>
    </row>
    <row r="550" ht="15.75" customHeight="1" s="12">
      <c r="A550" s="2" t="n"/>
      <c r="B550" s="2" t="n"/>
    </row>
    <row r="551" ht="15.75" customHeight="1" s="12">
      <c r="A551" s="2" t="n"/>
      <c r="B551" s="2" t="n"/>
    </row>
    <row r="552" ht="15.75" customHeight="1" s="12">
      <c r="A552" s="2" t="n"/>
      <c r="B552" s="2" t="n"/>
    </row>
    <row r="553" ht="15.75" customHeight="1" s="12">
      <c r="A553" s="2" t="n"/>
      <c r="B553" s="2" t="n"/>
    </row>
    <row r="554" ht="15.75" customHeight="1" s="12">
      <c r="A554" s="2" t="n"/>
      <c r="B554" s="2" t="n"/>
    </row>
    <row r="555" ht="15.75" customHeight="1" s="12">
      <c r="A555" s="2" t="n"/>
      <c r="B555" s="2" t="n"/>
    </row>
    <row r="556" ht="15.75" customHeight="1" s="12">
      <c r="A556" s="2" t="n"/>
      <c r="B556" s="2" t="n"/>
    </row>
    <row r="557" ht="15.75" customHeight="1" s="12">
      <c r="A557" s="2" t="n"/>
      <c r="B557" s="2" t="n"/>
    </row>
    <row r="558" ht="15.75" customHeight="1" s="12">
      <c r="A558" s="2" t="n"/>
      <c r="B558" s="2" t="n"/>
    </row>
    <row r="559" ht="15.75" customHeight="1" s="12">
      <c r="A559" s="2" t="n"/>
      <c r="B559" s="2" t="n"/>
    </row>
    <row r="560" ht="15.75" customHeight="1" s="12">
      <c r="A560" s="2" t="n"/>
      <c r="B560" s="2" t="n"/>
    </row>
    <row r="561" ht="15.75" customHeight="1" s="12">
      <c r="A561" s="2" t="n"/>
      <c r="B561" s="2" t="n"/>
    </row>
    <row r="562" ht="15.75" customHeight="1" s="12">
      <c r="A562" s="2" t="n"/>
      <c r="B562" s="2" t="n"/>
    </row>
    <row r="563" ht="15.75" customHeight="1" s="12">
      <c r="A563" s="2" t="n"/>
      <c r="B563" s="2" t="n"/>
    </row>
    <row r="564" ht="15.75" customHeight="1" s="12">
      <c r="A564" s="2" t="n"/>
      <c r="B564" s="2" t="n"/>
    </row>
    <row r="565" ht="15.75" customHeight="1" s="12">
      <c r="A565" s="2" t="n"/>
      <c r="B565" s="2" t="n"/>
    </row>
    <row r="566" ht="15.75" customHeight="1" s="12">
      <c r="A566" s="2" t="n"/>
      <c r="B566" s="2" t="n"/>
    </row>
    <row r="567" ht="15.75" customHeight="1" s="12">
      <c r="A567" s="2" t="n"/>
      <c r="B567" s="2" t="n"/>
    </row>
    <row r="568" ht="15.75" customHeight="1" s="12">
      <c r="A568" s="2" t="n"/>
      <c r="B568" s="2" t="n"/>
    </row>
    <row r="569" ht="15.75" customHeight="1" s="12">
      <c r="A569" s="2" t="n"/>
      <c r="B569" s="2" t="n"/>
    </row>
    <row r="570" ht="15.75" customHeight="1" s="12">
      <c r="A570" s="2" t="n"/>
      <c r="B570" s="2" t="n"/>
    </row>
    <row r="571" ht="15.75" customHeight="1" s="12">
      <c r="A571" s="2" t="n"/>
      <c r="B571" s="2" t="n"/>
    </row>
    <row r="572" ht="15.75" customHeight="1" s="12">
      <c r="A572" s="2" t="n"/>
      <c r="B572" s="2" t="n"/>
    </row>
    <row r="573" ht="15.75" customHeight="1" s="12">
      <c r="A573" s="2" t="n"/>
      <c r="B573" s="2" t="n"/>
    </row>
    <row r="574" ht="15.75" customHeight="1" s="12">
      <c r="A574" s="2" t="n"/>
      <c r="B574" s="2" t="n"/>
    </row>
    <row r="575" ht="15.75" customHeight="1" s="12">
      <c r="A575" s="2" t="n"/>
      <c r="B575" s="2" t="n"/>
    </row>
    <row r="576" ht="15.75" customHeight="1" s="12">
      <c r="A576" s="2" t="n"/>
      <c r="B576" s="2" t="n"/>
    </row>
    <row r="577" ht="15.75" customHeight="1" s="12">
      <c r="A577" s="2" t="n"/>
      <c r="B577" s="2" t="n"/>
    </row>
    <row r="578" ht="15.75" customHeight="1" s="12">
      <c r="A578" s="2" t="n"/>
      <c r="B578" s="2" t="n"/>
    </row>
    <row r="579" ht="15.75" customHeight="1" s="12">
      <c r="A579" s="2" t="n"/>
      <c r="B579" s="2" t="n"/>
    </row>
    <row r="580" ht="15.75" customHeight="1" s="12">
      <c r="A580" s="2" t="n"/>
      <c r="B580" s="2" t="n"/>
    </row>
    <row r="581" ht="15.75" customHeight="1" s="12">
      <c r="A581" s="2" t="n"/>
      <c r="B581" s="2" t="n"/>
    </row>
    <row r="582" ht="15.75" customHeight="1" s="12">
      <c r="A582" s="2" t="n"/>
      <c r="B582" s="2" t="n"/>
    </row>
    <row r="583" ht="15.75" customHeight="1" s="12">
      <c r="A583" s="2" t="n"/>
      <c r="B583" s="2" t="n"/>
    </row>
    <row r="584" ht="15.75" customHeight="1" s="12">
      <c r="A584" s="2" t="n"/>
      <c r="B584" s="2" t="n"/>
    </row>
    <row r="585" ht="15.75" customHeight="1" s="12">
      <c r="A585" s="2" t="n"/>
      <c r="B585" s="2" t="n"/>
    </row>
    <row r="586" ht="15.75" customHeight="1" s="12">
      <c r="A586" s="2" t="n"/>
      <c r="B586" s="2" t="n"/>
    </row>
    <row r="587" ht="15.75" customHeight="1" s="12">
      <c r="A587" s="2" t="n"/>
      <c r="B587" s="2" t="n"/>
    </row>
    <row r="588" ht="15.75" customHeight="1" s="12">
      <c r="A588" s="2" t="n"/>
      <c r="B588" s="2" t="n"/>
    </row>
    <row r="589" ht="15.75" customHeight="1" s="12">
      <c r="A589" s="2" t="n"/>
      <c r="B589" s="2" t="n"/>
    </row>
    <row r="590" ht="15.75" customHeight="1" s="12">
      <c r="A590" s="2" t="n"/>
      <c r="B590" s="2" t="n"/>
    </row>
    <row r="591" ht="15.75" customHeight="1" s="12">
      <c r="A591" s="2" t="n"/>
      <c r="B591" s="2" t="n"/>
    </row>
    <row r="592" ht="15.75" customHeight="1" s="12">
      <c r="A592" s="2" t="n"/>
      <c r="B592" s="2" t="n"/>
    </row>
    <row r="593" ht="15.75" customHeight="1" s="12">
      <c r="A593" s="2" t="n"/>
      <c r="B593" s="2" t="n"/>
    </row>
    <row r="594" ht="15.75" customHeight="1" s="12">
      <c r="A594" s="2" t="n"/>
      <c r="B594" s="2" t="n"/>
    </row>
    <row r="595" ht="15.75" customHeight="1" s="12">
      <c r="A595" s="2" t="n"/>
      <c r="B595" s="2" t="n"/>
    </row>
    <row r="596" ht="15.75" customHeight="1" s="12">
      <c r="A596" s="2" t="n"/>
      <c r="B596" s="2" t="n"/>
    </row>
    <row r="597" ht="15.75" customHeight="1" s="12">
      <c r="A597" s="2" t="n"/>
      <c r="B597" s="2" t="n"/>
    </row>
    <row r="598" ht="15.75" customHeight="1" s="12">
      <c r="A598" s="2" t="n"/>
      <c r="B598" s="2" t="n"/>
    </row>
    <row r="599" ht="15.75" customHeight="1" s="12">
      <c r="A599" s="2" t="n"/>
      <c r="B599" s="2" t="n"/>
    </row>
    <row r="600" ht="15.75" customHeight="1" s="12">
      <c r="A600" s="2" t="n"/>
      <c r="B600" s="2" t="n"/>
    </row>
    <row r="601" ht="15.75" customHeight="1" s="12">
      <c r="A601" s="2" t="n"/>
      <c r="B601" s="2" t="n"/>
    </row>
    <row r="602" ht="15.75" customHeight="1" s="12">
      <c r="A602" s="2" t="n"/>
      <c r="B602" s="2" t="n"/>
    </row>
    <row r="603" ht="15.75" customHeight="1" s="12">
      <c r="A603" s="2" t="n"/>
      <c r="B603" s="2" t="n"/>
    </row>
    <row r="604" ht="15.75" customHeight="1" s="12">
      <c r="A604" s="2" t="n"/>
      <c r="B604" s="2" t="n"/>
    </row>
    <row r="605" ht="15.75" customHeight="1" s="12">
      <c r="A605" s="2" t="n"/>
      <c r="B605" s="2" t="n"/>
    </row>
    <row r="606" ht="15.75" customHeight="1" s="12">
      <c r="A606" s="2" t="n"/>
      <c r="B606" s="2" t="n"/>
    </row>
    <row r="607" ht="15.75" customHeight="1" s="12">
      <c r="A607" s="2" t="n"/>
      <c r="B607" s="2" t="n"/>
    </row>
    <row r="608" ht="15.75" customHeight="1" s="12">
      <c r="A608" s="2" t="n"/>
      <c r="B608" s="2" t="n"/>
    </row>
    <row r="609" ht="15.75" customHeight="1" s="12">
      <c r="A609" s="2" t="n"/>
      <c r="B609" s="2" t="n"/>
    </row>
    <row r="610" ht="15.75" customHeight="1" s="12">
      <c r="A610" s="2" t="n"/>
      <c r="B610" s="2" t="n"/>
    </row>
    <row r="611" ht="15.75" customHeight="1" s="12">
      <c r="A611" s="2" t="n"/>
      <c r="B611" s="2" t="n"/>
    </row>
    <row r="612" ht="15.75" customHeight="1" s="12">
      <c r="A612" s="2" t="n"/>
      <c r="B612" s="2" t="n"/>
    </row>
    <row r="613" ht="15.75" customHeight="1" s="12">
      <c r="A613" s="2" t="n"/>
      <c r="B613" s="2" t="n"/>
    </row>
    <row r="614" ht="15.75" customHeight="1" s="12">
      <c r="A614" s="2" t="n"/>
      <c r="B614" s="2" t="n"/>
    </row>
    <row r="615" ht="15.75" customHeight="1" s="12">
      <c r="A615" s="2" t="n"/>
      <c r="B615" s="2" t="n"/>
    </row>
    <row r="616" ht="15.75" customHeight="1" s="12">
      <c r="A616" s="2" t="n"/>
      <c r="B616" s="2" t="n"/>
    </row>
    <row r="617" ht="15.75" customHeight="1" s="12">
      <c r="A617" s="2" t="n"/>
      <c r="B617" s="2" t="n"/>
    </row>
    <row r="618" ht="15.75" customHeight="1" s="12">
      <c r="A618" s="2" t="n"/>
      <c r="B618" s="2" t="n"/>
    </row>
    <row r="619" ht="15.75" customHeight="1" s="12">
      <c r="A619" s="2" t="n"/>
      <c r="B619" s="2" t="n"/>
    </row>
    <row r="620" ht="15.75" customHeight="1" s="12">
      <c r="A620" s="2" t="n"/>
      <c r="B620" s="2" t="n"/>
    </row>
    <row r="621" ht="15.75" customHeight="1" s="12">
      <c r="A621" s="2" t="n"/>
      <c r="B621" s="2" t="n"/>
    </row>
    <row r="622" ht="15.75" customHeight="1" s="12">
      <c r="A622" s="2" t="n"/>
      <c r="B622" s="2" t="n"/>
    </row>
    <row r="623" ht="15.75" customHeight="1" s="12">
      <c r="A623" s="2" t="n"/>
      <c r="B623" s="2" t="n"/>
    </row>
    <row r="624" ht="15.75" customHeight="1" s="12">
      <c r="A624" s="2" t="n"/>
      <c r="B624" s="2" t="n"/>
    </row>
    <row r="625" ht="15.75" customHeight="1" s="12">
      <c r="A625" s="2" t="n"/>
      <c r="B625" s="2" t="n"/>
    </row>
    <row r="626" ht="15.75" customHeight="1" s="12">
      <c r="A626" s="2" t="n"/>
      <c r="B626" s="2" t="n"/>
    </row>
    <row r="627" ht="15.75" customHeight="1" s="12">
      <c r="A627" s="2" t="n"/>
      <c r="B627" s="2" t="n"/>
    </row>
    <row r="628" ht="15.75" customHeight="1" s="12">
      <c r="A628" s="2" t="n"/>
      <c r="B628" s="2" t="n"/>
    </row>
    <row r="629" ht="15.75" customHeight="1" s="12">
      <c r="A629" s="2" t="n"/>
      <c r="B629" s="2" t="n"/>
    </row>
    <row r="630" ht="15.75" customHeight="1" s="12">
      <c r="A630" s="2" t="n"/>
      <c r="B630" s="2" t="n"/>
    </row>
    <row r="631" ht="15.75" customHeight="1" s="12">
      <c r="A631" s="2" t="n"/>
      <c r="B631" s="2" t="n"/>
    </row>
    <row r="632" ht="15.75" customHeight="1" s="12">
      <c r="A632" s="2" t="n"/>
      <c r="B632" s="2" t="n"/>
    </row>
    <row r="633" ht="15.75" customHeight="1" s="12">
      <c r="A633" s="2" t="n"/>
      <c r="B633" s="2" t="n"/>
    </row>
    <row r="634" ht="15.75" customHeight="1" s="12">
      <c r="A634" s="2" t="n"/>
      <c r="B634" s="2" t="n"/>
    </row>
    <row r="635" ht="15.75" customHeight="1" s="12">
      <c r="A635" s="2" t="n"/>
      <c r="B635" s="2" t="n"/>
    </row>
    <row r="636" ht="15.75" customHeight="1" s="12">
      <c r="A636" s="2" t="n"/>
      <c r="B636" s="2" t="n"/>
    </row>
    <row r="637" ht="15.75" customHeight="1" s="12">
      <c r="A637" s="2" t="n"/>
      <c r="B637" s="2" t="n"/>
    </row>
    <row r="638" ht="15.75" customHeight="1" s="12">
      <c r="A638" s="2" t="n"/>
      <c r="B638" s="2" t="n"/>
    </row>
    <row r="639" ht="15.75" customHeight="1" s="12">
      <c r="A639" s="2" t="n"/>
      <c r="B639" s="2" t="n"/>
    </row>
    <row r="640" ht="15.75" customHeight="1" s="12">
      <c r="A640" s="2" t="n"/>
      <c r="B640" s="2" t="n"/>
    </row>
    <row r="641" ht="15.75" customHeight="1" s="12">
      <c r="A641" s="2" t="n"/>
      <c r="B641" s="2" t="n"/>
    </row>
    <row r="642" ht="15.75" customHeight="1" s="12">
      <c r="A642" s="2" t="n"/>
      <c r="B642" s="2" t="n"/>
    </row>
    <row r="643" ht="15.75" customHeight="1" s="12">
      <c r="A643" s="2" t="n"/>
      <c r="B643" s="2" t="n"/>
    </row>
    <row r="644" ht="15.75" customHeight="1" s="12">
      <c r="A644" s="2" t="n"/>
      <c r="B644" s="2" t="n"/>
    </row>
    <row r="645" ht="15.75" customHeight="1" s="12">
      <c r="A645" s="2" t="n"/>
      <c r="B645" s="2" t="n"/>
    </row>
    <row r="646" ht="15.75" customHeight="1" s="12">
      <c r="A646" s="2" t="n"/>
      <c r="B646" s="2" t="n"/>
    </row>
    <row r="647" ht="15.75" customHeight="1" s="12">
      <c r="A647" s="2" t="n"/>
      <c r="B647" s="2" t="n"/>
    </row>
    <row r="648" ht="15.75" customHeight="1" s="12">
      <c r="A648" s="2" t="n"/>
      <c r="B648" s="2" t="n"/>
    </row>
    <row r="649" ht="15.75" customHeight="1" s="12">
      <c r="A649" s="2" t="n"/>
      <c r="B649" s="2" t="n"/>
    </row>
    <row r="650" ht="15.75" customHeight="1" s="12">
      <c r="A650" s="2" t="n"/>
      <c r="B650" s="2" t="n"/>
    </row>
    <row r="651" ht="15.75" customHeight="1" s="12">
      <c r="A651" s="2" t="n"/>
      <c r="B651" s="2" t="n"/>
    </row>
    <row r="652" ht="15.75" customHeight="1" s="12">
      <c r="A652" s="2" t="n"/>
      <c r="B652" s="2" t="n"/>
    </row>
    <row r="653" ht="15.75" customHeight="1" s="12">
      <c r="A653" s="2" t="n"/>
      <c r="B653" s="2" t="n"/>
    </row>
    <row r="654" ht="15.75" customHeight="1" s="12">
      <c r="A654" s="2" t="n"/>
      <c r="B654" s="2" t="n"/>
    </row>
    <row r="655" ht="15.75" customHeight="1" s="12">
      <c r="A655" s="2" t="n"/>
      <c r="B655" s="2" t="n"/>
    </row>
    <row r="656" ht="15.75" customHeight="1" s="12">
      <c r="A656" s="2" t="n"/>
      <c r="B656" s="2" t="n"/>
    </row>
    <row r="657" ht="15.75" customHeight="1" s="12">
      <c r="A657" s="2" t="n"/>
      <c r="B657" s="2" t="n"/>
    </row>
    <row r="658" ht="15.75" customHeight="1" s="12">
      <c r="A658" s="2" t="n"/>
      <c r="B658" s="2" t="n"/>
    </row>
    <row r="659" ht="15.75" customHeight="1" s="12">
      <c r="A659" s="2" t="n"/>
      <c r="B659" s="2" t="n"/>
    </row>
    <row r="660" ht="15.75" customHeight="1" s="12">
      <c r="A660" s="2" t="n"/>
      <c r="B660" s="2" t="n"/>
    </row>
    <row r="661" ht="15.75" customHeight="1" s="12">
      <c r="A661" s="2" t="n"/>
      <c r="B661" s="2" t="n"/>
    </row>
    <row r="662" ht="15.75" customHeight="1" s="12">
      <c r="A662" s="2" t="n"/>
      <c r="B662" s="2" t="n"/>
    </row>
    <row r="663" ht="15.75" customHeight="1" s="12">
      <c r="A663" s="2" t="n"/>
      <c r="B663" s="2" t="n"/>
    </row>
    <row r="664" ht="15.75" customHeight="1" s="12">
      <c r="A664" s="2" t="n"/>
      <c r="B664" s="2" t="n"/>
    </row>
    <row r="665" ht="15.75" customHeight="1" s="12">
      <c r="A665" s="2" t="n"/>
      <c r="B665" s="2" t="n"/>
    </row>
    <row r="666" ht="15.75" customHeight="1" s="12">
      <c r="A666" s="2" t="n"/>
      <c r="B666" s="2" t="n"/>
    </row>
    <row r="667" ht="15.75" customHeight="1" s="12">
      <c r="A667" s="2" t="n"/>
      <c r="B667" s="2" t="n"/>
    </row>
    <row r="668" ht="15.75" customHeight="1" s="12">
      <c r="A668" s="2" t="n"/>
      <c r="B668" s="2" t="n"/>
    </row>
    <row r="669" ht="15.75" customHeight="1" s="12">
      <c r="A669" s="2" t="n"/>
      <c r="B669" s="2" t="n"/>
    </row>
    <row r="670" ht="15.75" customHeight="1" s="12">
      <c r="A670" s="2" t="n"/>
      <c r="B670" s="2" t="n"/>
    </row>
    <row r="671" ht="15.75" customHeight="1" s="12">
      <c r="A671" s="2" t="n"/>
      <c r="B671" s="2" t="n"/>
    </row>
    <row r="672" ht="15.75" customHeight="1" s="12">
      <c r="A672" s="2" t="n"/>
      <c r="B672" s="2" t="n"/>
    </row>
    <row r="673" ht="15.75" customHeight="1" s="12">
      <c r="A673" s="2" t="n"/>
      <c r="B673" s="2" t="n"/>
    </row>
    <row r="674" ht="15.75" customHeight="1" s="12">
      <c r="A674" s="2" t="n"/>
      <c r="B674" s="2" t="n"/>
    </row>
    <row r="675" ht="15.75" customHeight="1" s="12">
      <c r="A675" s="2" t="n"/>
      <c r="B675" s="2" t="n"/>
    </row>
    <row r="676" ht="15.75" customHeight="1" s="12">
      <c r="A676" s="2" t="n"/>
      <c r="B676" s="2" t="n"/>
    </row>
    <row r="677" ht="15.75" customHeight="1" s="12">
      <c r="A677" s="2" t="n"/>
      <c r="B677" s="2" t="n"/>
    </row>
    <row r="678" ht="15.75" customHeight="1" s="12">
      <c r="A678" s="2" t="n"/>
      <c r="B678" s="2" t="n"/>
    </row>
    <row r="679" ht="15.75" customHeight="1" s="12">
      <c r="A679" s="2" t="n"/>
      <c r="B679" s="2" t="n"/>
    </row>
    <row r="680" ht="15.75" customHeight="1" s="12">
      <c r="A680" s="2" t="n"/>
      <c r="B680" s="2" t="n"/>
    </row>
    <row r="681" ht="15.75" customHeight="1" s="12">
      <c r="A681" s="2" t="n"/>
      <c r="B681" s="2" t="n"/>
    </row>
    <row r="682" ht="15.75" customHeight="1" s="12">
      <c r="A682" s="2" t="n"/>
      <c r="B682" s="2" t="n"/>
    </row>
    <row r="683" ht="15.75" customHeight="1" s="12">
      <c r="A683" s="2" t="n"/>
      <c r="B683" s="2" t="n"/>
    </row>
    <row r="684" ht="15.75" customHeight="1" s="12">
      <c r="A684" s="2" t="n"/>
      <c r="B684" s="2" t="n"/>
    </row>
    <row r="685" ht="15.75" customHeight="1" s="12">
      <c r="A685" s="2" t="n"/>
      <c r="B685" s="2" t="n"/>
    </row>
    <row r="686" ht="15.75" customHeight="1" s="12">
      <c r="A686" s="2" t="n"/>
      <c r="B686" s="2" t="n"/>
    </row>
    <row r="687" ht="15.75" customHeight="1" s="12">
      <c r="A687" s="2" t="n"/>
      <c r="B687" s="2" t="n"/>
    </row>
    <row r="688" ht="15.75" customHeight="1" s="12">
      <c r="A688" s="2" t="n"/>
      <c r="B688" s="2" t="n"/>
    </row>
    <row r="689" ht="15.75" customHeight="1" s="12">
      <c r="A689" s="2" t="n"/>
      <c r="B689" s="2" t="n"/>
    </row>
    <row r="690" ht="15.75" customHeight="1" s="12">
      <c r="A690" s="2" t="n"/>
      <c r="B690" s="2" t="n"/>
    </row>
    <row r="691" ht="15.75" customHeight="1" s="12">
      <c r="A691" s="2" t="n"/>
      <c r="B691" s="2" t="n"/>
    </row>
    <row r="692" ht="15.75" customHeight="1" s="12">
      <c r="A692" s="2" t="n"/>
      <c r="B692" s="2" t="n"/>
    </row>
    <row r="693" ht="15.75" customHeight="1" s="12">
      <c r="A693" s="2" t="n"/>
      <c r="B693" s="2" t="n"/>
    </row>
    <row r="694" ht="15.75" customHeight="1" s="12">
      <c r="A694" s="2" t="n"/>
      <c r="B694" s="2" t="n"/>
    </row>
    <row r="695" ht="15.75" customHeight="1" s="12">
      <c r="A695" s="2" t="n"/>
      <c r="B695" s="2" t="n"/>
    </row>
    <row r="696" ht="15.75" customHeight="1" s="12">
      <c r="A696" s="2" t="n"/>
      <c r="B696" s="2" t="n"/>
    </row>
    <row r="697" ht="15.75" customHeight="1" s="12">
      <c r="A697" s="2" t="n"/>
      <c r="B697" s="2" t="n"/>
    </row>
    <row r="698" ht="15.75" customHeight="1" s="12">
      <c r="A698" s="2" t="n"/>
      <c r="B698" s="2" t="n"/>
    </row>
    <row r="699" ht="15.75" customHeight="1" s="12">
      <c r="A699" s="2" t="n"/>
      <c r="B699" s="2" t="n"/>
    </row>
    <row r="700" ht="15.75" customHeight="1" s="12">
      <c r="A700" s="2" t="n"/>
      <c r="B700" s="2" t="n"/>
    </row>
    <row r="701" ht="15.75" customHeight="1" s="12">
      <c r="A701" s="2" t="n"/>
      <c r="B701" s="2" t="n"/>
    </row>
    <row r="702" ht="15.75" customHeight="1" s="12">
      <c r="A702" s="2" t="n"/>
      <c r="B702" s="2" t="n"/>
    </row>
    <row r="703" ht="15.75" customHeight="1" s="12">
      <c r="A703" s="2" t="n"/>
      <c r="B703" s="2" t="n"/>
    </row>
    <row r="704" ht="15.75" customHeight="1" s="12">
      <c r="A704" s="2" t="n"/>
      <c r="B704" s="2" t="n"/>
    </row>
    <row r="705" ht="15.75" customHeight="1" s="12">
      <c r="A705" s="2" t="n"/>
      <c r="B705" s="2" t="n"/>
    </row>
    <row r="706" ht="15.75" customHeight="1" s="12">
      <c r="A706" s="2" t="n"/>
      <c r="B706" s="2" t="n"/>
    </row>
    <row r="707" ht="15.75" customHeight="1" s="12">
      <c r="A707" s="2" t="n"/>
      <c r="B707" s="2" t="n"/>
    </row>
    <row r="708" ht="15.75" customHeight="1" s="12">
      <c r="A708" s="2" t="n"/>
      <c r="B708" s="2" t="n"/>
    </row>
    <row r="709" ht="15.75" customHeight="1" s="12">
      <c r="A709" s="2" t="n"/>
      <c r="B709" s="2" t="n"/>
    </row>
    <row r="710" ht="15.75" customHeight="1" s="12">
      <c r="A710" s="2" t="n"/>
      <c r="B710" s="2" t="n"/>
    </row>
    <row r="711" ht="15.75" customHeight="1" s="12">
      <c r="A711" s="2" t="n"/>
      <c r="B711" s="2" t="n"/>
    </row>
    <row r="712" ht="15.75" customHeight="1" s="12">
      <c r="A712" s="2" t="n"/>
      <c r="B712" s="2" t="n"/>
    </row>
    <row r="713" ht="15.75" customHeight="1" s="12">
      <c r="A713" s="2" t="n"/>
      <c r="B713" s="2" t="n"/>
    </row>
    <row r="714" ht="15.75" customHeight="1" s="12">
      <c r="A714" s="2" t="n"/>
      <c r="B714" s="2" t="n"/>
    </row>
    <row r="715" ht="15.75" customHeight="1" s="12">
      <c r="A715" s="2" t="n"/>
      <c r="B715" s="2" t="n"/>
    </row>
    <row r="716" ht="15.75" customHeight="1" s="12">
      <c r="A716" s="2" t="n"/>
      <c r="B716" s="2" t="n"/>
    </row>
    <row r="717" ht="15.75" customHeight="1" s="12">
      <c r="A717" s="2" t="n"/>
      <c r="B717" s="2" t="n"/>
    </row>
    <row r="718" ht="15.75" customHeight="1" s="12">
      <c r="A718" s="2" t="n"/>
      <c r="B718" s="2" t="n"/>
    </row>
    <row r="719" ht="15.75" customHeight="1" s="12">
      <c r="A719" s="2" t="n"/>
      <c r="B719" s="2" t="n"/>
    </row>
    <row r="720" ht="15.75" customHeight="1" s="12">
      <c r="A720" s="2" t="n"/>
      <c r="B720" s="2" t="n"/>
    </row>
    <row r="721" ht="15.75" customHeight="1" s="12">
      <c r="A721" s="2" t="n"/>
      <c r="B721" s="2" t="n"/>
    </row>
    <row r="722" ht="15.75" customHeight="1" s="12">
      <c r="A722" s="2" t="n"/>
      <c r="B722" s="2" t="n"/>
    </row>
    <row r="723" ht="15.75" customHeight="1" s="12">
      <c r="A723" s="2" t="n"/>
      <c r="B723" s="2" t="n"/>
    </row>
    <row r="724" ht="15.75" customHeight="1" s="12">
      <c r="A724" s="2" t="n"/>
      <c r="B724" s="2" t="n"/>
    </row>
    <row r="725" ht="15.75" customHeight="1" s="12">
      <c r="A725" s="2" t="n"/>
      <c r="B725" s="2" t="n"/>
    </row>
    <row r="726" ht="15.75" customHeight="1" s="12">
      <c r="A726" s="2" t="n"/>
      <c r="B726" s="2" t="n"/>
    </row>
    <row r="727" ht="15.75" customHeight="1" s="12">
      <c r="A727" s="2" t="n"/>
      <c r="B727" s="2" t="n"/>
    </row>
    <row r="728" ht="15.75" customHeight="1" s="12">
      <c r="A728" s="2" t="n"/>
      <c r="B728" s="2" t="n"/>
    </row>
    <row r="729" ht="15.75" customHeight="1" s="12">
      <c r="A729" s="2" t="n"/>
      <c r="B729" s="2" t="n"/>
    </row>
    <row r="730" ht="15.75" customHeight="1" s="12">
      <c r="A730" s="2" t="n"/>
      <c r="B730" s="2" t="n"/>
    </row>
    <row r="731" ht="15.75" customHeight="1" s="12">
      <c r="A731" s="2" t="n"/>
      <c r="B731" s="2" t="n"/>
    </row>
    <row r="732" ht="15.75" customHeight="1" s="12">
      <c r="A732" s="2" t="n"/>
      <c r="B732" s="2" t="n"/>
    </row>
    <row r="733" ht="15.75" customHeight="1" s="12">
      <c r="A733" s="2" t="n"/>
      <c r="B733" s="2" t="n"/>
    </row>
    <row r="734" ht="15.75" customHeight="1" s="12">
      <c r="A734" s="2" t="n"/>
      <c r="B734" s="2" t="n"/>
    </row>
    <row r="735" ht="15.75" customHeight="1" s="12">
      <c r="A735" s="2" t="n"/>
      <c r="B735" s="2" t="n"/>
    </row>
    <row r="736" ht="15.75" customHeight="1" s="12">
      <c r="A736" s="2" t="n"/>
      <c r="B736" s="2" t="n"/>
    </row>
    <row r="737" ht="15.75" customHeight="1" s="12">
      <c r="A737" s="2" t="n"/>
      <c r="B737" s="2" t="n"/>
    </row>
    <row r="738" ht="15.75" customHeight="1" s="12">
      <c r="A738" s="2" t="n"/>
      <c r="B738" s="2" t="n"/>
    </row>
    <row r="739" ht="15.75" customHeight="1" s="12">
      <c r="A739" s="2" t="n"/>
      <c r="B739" s="2" t="n"/>
    </row>
    <row r="740" ht="15.75" customHeight="1" s="12">
      <c r="A740" s="2" t="n"/>
      <c r="B740" s="2" t="n"/>
    </row>
    <row r="741" ht="15.75" customHeight="1" s="12">
      <c r="A741" s="2" t="n"/>
      <c r="B741" s="2" t="n"/>
    </row>
    <row r="742" ht="15.75" customHeight="1" s="12">
      <c r="A742" s="2" t="n"/>
      <c r="B742" s="2" t="n"/>
    </row>
    <row r="743" ht="15.75" customHeight="1" s="12">
      <c r="A743" s="2" t="n"/>
      <c r="B743" s="2" t="n"/>
    </row>
    <row r="744" ht="15.75" customHeight="1" s="12">
      <c r="A744" s="2" t="n"/>
      <c r="B744" s="2" t="n"/>
    </row>
    <row r="745" ht="15.75" customHeight="1" s="12">
      <c r="A745" s="2" t="n"/>
      <c r="B745" s="2" t="n"/>
    </row>
    <row r="746" ht="15.75" customHeight="1" s="12">
      <c r="A746" s="2" t="n"/>
      <c r="B746" s="2" t="n"/>
    </row>
    <row r="747" ht="15.75" customHeight="1" s="12">
      <c r="A747" s="2" t="n"/>
      <c r="B747" s="2" t="n"/>
    </row>
    <row r="748" ht="15.75" customHeight="1" s="12">
      <c r="A748" s="2" t="n"/>
      <c r="B748" s="2" t="n"/>
    </row>
    <row r="749" ht="15.75" customHeight="1" s="12">
      <c r="A749" s="2" t="n"/>
      <c r="B749" s="2" t="n"/>
    </row>
    <row r="750" ht="15.75" customHeight="1" s="12">
      <c r="A750" s="2" t="n"/>
      <c r="B750" s="2" t="n"/>
    </row>
    <row r="751" ht="15.75" customHeight="1" s="12">
      <c r="A751" s="2" t="n"/>
      <c r="B751" s="2" t="n"/>
    </row>
    <row r="752" ht="15.75" customHeight="1" s="12">
      <c r="A752" s="2" t="n"/>
      <c r="B752" s="2" t="n"/>
    </row>
    <row r="753" ht="15.75" customHeight="1" s="12">
      <c r="A753" s="2" t="n"/>
      <c r="B753" s="2" t="n"/>
    </row>
    <row r="754" ht="15.75" customHeight="1" s="12">
      <c r="A754" s="2" t="n"/>
      <c r="B754" s="2" t="n"/>
    </row>
    <row r="755" ht="15.75" customHeight="1" s="12">
      <c r="A755" s="2" t="n"/>
      <c r="B755" s="2" t="n"/>
    </row>
    <row r="756" ht="15.75" customHeight="1" s="12">
      <c r="A756" s="2" t="n"/>
      <c r="B756" s="2" t="n"/>
    </row>
    <row r="757" ht="15.75" customHeight="1" s="12">
      <c r="A757" s="2" t="n"/>
      <c r="B757" s="2" t="n"/>
    </row>
    <row r="758" ht="15.75" customHeight="1" s="12">
      <c r="A758" s="2" t="n"/>
      <c r="B758" s="2" t="n"/>
    </row>
    <row r="759" ht="15.75" customHeight="1" s="12">
      <c r="A759" s="2" t="n"/>
      <c r="B759" s="2" t="n"/>
    </row>
    <row r="760" ht="15.75" customHeight="1" s="12">
      <c r="A760" s="2" t="n"/>
      <c r="B760" s="2" t="n"/>
    </row>
    <row r="761" ht="15.75" customHeight="1" s="12">
      <c r="A761" s="2" t="n"/>
      <c r="B761" s="2" t="n"/>
    </row>
    <row r="762" ht="15.75" customHeight="1" s="12">
      <c r="A762" s="2" t="n"/>
      <c r="B762" s="2" t="n"/>
    </row>
    <row r="763" ht="15.75" customHeight="1" s="12">
      <c r="A763" s="2" t="n"/>
      <c r="B763" s="2" t="n"/>
    </row>
    <row r="764" ht="15.75" customHeight="1" s="12">
      <c r="A764" s="2" t="n"/>
      <c r="B764" s="2" t="n"/>
    </row>
    <row r="765" ht="15.75" customHeight="1" s="12">
      <c r="A765" s="2" t="n"/>
      <c r="B765" s="2" t="n"/>
    </row>
    <row r="766" ht="15.75" customHeight="1" s="12">
      <c r="A766" s="2" t="n"/>
      <c r="B766" s="2" t="n"/>
    </row>
    <row r="767" ht="15.75" customHeight="1" s="12">
      <c r="A767" s="2" t="n"/>
      <c r="B767" s="2" t="n"/>
    </row>
    <row r="768" ht="15.75" customHeight="1" s="12">
      <c r="A768" s="2" t="n"/>
      <c r="B768" s="2" t="n"/>
    </row>
    <row r="769" ht="15.75" customHeight="1" s="12">
      <c r="A769" s="2" t="n"/>
      <c r="B769" s="2" t="n"/>
    </row>
    <row r="770" ht="15.75" customHeight="1" s="12">
      <c r="A770" s="2" t="n"/>
      <c r="B770" s="2" t="n"/>
    </row>
    <row r="771" ht="15.75" customHeight="1" s="12">
      <c r="A771" s="2" t="n"/>
      <c r="B771" s="2" t="n"/>
    </row>
    <row r="772" ht="15.75" customHeight="1" s="12">
      <c r="A772" s="2" t="n"/>
      <c r="B772" s="2" t="n"/>
    </row>
    <row r="773" ht="15.75" customHeight="1" s="12">
      <c r="A773" s="2" t="n"/>
      <c r="B773" s="2" t="n"/>
    </row>
    <row r="774" ht="15.75" customHeight="1" s="12">
      <c r="A774" s="2" t="n"/>
      <c r="B774" s="2" t="n"/>
    </row>
    <row r="775" ht="15.75" customHeight="1" s="12">
      <c r="A775" s="2" t="n"/>
      <c r="B775" s="2" t="n"/>
    </row>
    <row r="776" ht="15.75" customHeight="1" s="12">
      <c r="A776" s="2" t="n"/>
      <c r="B776" s="2" t="n"/>
    </row>
    <row r="777" ht="15.75" customHeight="1" s="12">
      <c r="A777" s="2" t="n"/>
      <c r="B777" s="2" t="n"/>
    </row>
    <row r="778" ht="15.75" customHeight="1" s="12">
      <c r="A778" s="2" t="n"/>
      <c r="B778" s="2" t="n"/>
    </row>
    <row r="779" ht="15.75" customHeight="1" s="12">
      <c r="A779" s="2" t="n"/>
      <c r="B779" s="2" t="n"/>
    </row>
    <row r="780" ht="15.75" customHeight="1" s="12">
      <c r="A780" s="2" t="n"/>
      <c r="B780" s="2" t="n"/>
    </row>
    <row r="781" ht="15.75" customHeight="1" s="12">
      <c r="A781" s="2" t="n"/>
      <c r="B781" s="2" t="n"/>
    </row>
    <row r="782" ht="15.75" customHeight="1" s="12">
      <c r="A782" s="2" t="n"/>
      <c r="B782" s="2" t="n"/>
    </row>
    <row r="783" ht="15.75" customHeight="1" s="12">
      <c r="A783" s="2" t="n"/>
      <c r="B783" s="2" t="n"/>
    </row>
    <row r="784" ht="15.75" customHeight="1" s="12">
      <c r="A784" s="2" t="n"/>
      <c r="B784" s="2" t="n"/>
    </row>
    <row r="785" ht="15.75" customHeight="1" s="12">
      <c r="A785" s="2" t="n"/>
      <c r="B785" s="2" t="n"/>
    </row>
    <row r="786" ht="15.75" customHeight="1" s="12">
      <c r="A786" s="2" t="n"/>
      <c r="B786" s="2" t="n"/>
    </row>
    <row r="787" ht="15.75" customHeight="1" s="12">
      <c r="A787" s="2" t="n"/>
      <c r="B787" s="2" t="n"/>
    </row>
    <row r="788" ht="15.75" customHeight="1" s="12">
      <c r="A788" s="2" t="n"/>
      <c r="B788" s="2" t="n"/>
    </row>
    <row r="789" ht="15.75" customHeight="1" s="12">
      <c r="A789" s="2" t="n"/>
      <c r="B789" s="2" t="n"/>
    </row>
    <row r="790" ht="15.75" customHeight="1" s="12">
      <c r="A790" s="2" t="n"/>
      <c r="B790" s="2" t="n"/>
    </row>
    <row r="791" ht="15.75" customHeight="1" s="12">
      <c r="A791" s="2" t="n"/>
      <c r="B791" s="2" t="n"/>
    </row>
    <row r="792" ht="15.75" customHeight="1" s="12">
      <c r="A792" s="2" t="n"/>
      <c r="B792" s="2" t="n"/>
    </row>
    <row r="793" ht="15.75" customHeight="1" s="12">
      <c r="A793" s="2" t="n"/>
      <c r="B793" s="2" t="n"/>
    </row>
    <row r="794" ht="15.75" customHeight="1" s="12">
      <c r="A794" s="2" t="n"/>
      <c r="B794" s="2" t="n"/>
    </row>
    <row r="795" ht="15.75" customHeight="1" s="12">
      <c r="A795" s="2" t="n"/>
      <c r="B795" s="2" t="n"/>
    </row>
    <row r="796" ht="15.75" customHeight="1" s="12">
      <c r="A796" s="2" t="n"/>
      <c r="B796" s="2" t="n"/>
    </row>
    <row r="797" ht="15.75" customHeight="1" s="12">
      <c r="A797" s="2" t="n"/>
      <c r="B797" s="2" t="n"/>
    </row>
    <row r="798" ht="15.75" customHeight="1" s="12">
      <c r="A798" s="2" t="n"/>
      <c r="B798" s="2" t="n"/>
    </row>
    <row r="799" ht="15.75" customHeight="1" s="12">
      <c r="A799" s="2" t="n"/>
      <c r="B799" s="2" t="n"/>
    </row>
    <row r="800" ht="15.75" customHeight="1" s="12">
      <c r="A800" s="2" t="n"/>
      <c r="B800" s="2" t="n"/>
    </row>
    <row r="801" ht="15.75" customHeight="1" s="12">
      <c r="A801" s="2" t="n"/>
      <c r="B801" s="2" t="n"/>
    </row>
    <row r="802" ht="15.75" customHeight="1" s="12">
      <c r="A802" s="2" t="n"/>
      <c r="B802" s="2" t="n"/>
    </row>
    <row r="803" ht="15.75" customHeight="1" s="12">
      <c r="A803" s="2" t="n"/>
      <c r="B803" s="2" t="n"/>
    </row>
    <row r="804" ht="15.75" customHeight="1" s="12">
      <c r="A804" s="2" t="n"/>
      <c r="B804" s="2" t="n"/>
    </row>
    <row r="805" ht="15.75" customHeight="1" s="12">
      <c r="A805" s="2" t="n"/>
      <c r="B805" s="2" t="n"/>
    </row>
    <row r="806" ht="15.75" customHeight="1" s="12">
      <c r="A806" s="2" t="n"/>
      <c r="B806" s="2" t="n"/>
    </row>
    <row r="807" ht="15.75" customHeight="1" s="12">
      <c r="A807" s="2" t="n"/>
      <c r="B807" s="2" t="n"/>
    </row>
    <row r="808" ht="15.75" customHeight="1" s="12">
      <c r="A808" s="2" t="n"/>
      <c r="B808" s="2" t="n"/>
    </row>
    <row r="809" ht="15.75" customHeight="1" s="12">
      <c r="A809" s="2" t="n"/>
      <c r="B809" s="2" t="n"/>
    </row>
    <row r="810" ht="15.75" customHeight="1" s="12">
      <c r="A810" s="2" t="n"/>
      <c r="B810" s="2" t="n"/>
    </row>
    <row r="811" ht="15.75" customHeight="1" s="12">
      <c r="A811" s="2" t="n"/>
      <c r="B811" s="2" t="n"/>
    </row>
    <row r="812" ht="15.75" customHeight="1" s="12">
      <c r="A812" s="2" t="n"/>
      <c r="B812" s="2" t="n"/>
    </row>
    <row r="813" ht="15.75" customHeight="1" s="12">
      <c r="A813" s="2" t="n"/>
      <c r="B813" s="2" t="n"/>
    </row>
    <row r="814" ht="15.75" customHeight="1" s="12">
      <c r="A814" s="2" t="n"/>
      <c r="B814" s="2" t="n"/>
    </row>
    <row r="815" ht="15.75" customHeight="1" s="12">
      <c r="A815" s="2" t="n"/>
      <c r="B815" s="2" t="n"/>
    </row>
    <row r="816" ht="15.75" customHeight="1" s="12">
      <c r="A816" s="2" t="n"/>
      <c r="B816" s="2" t="n"/>
    </row>
    <row r="817" ht="15.75" customHeight="1" s="12">
      <c r="A817" s="2" t="n"/>
      <c r="B817" s="2" t="n"/>
    </row>
    <row r="818" ht="15.75" customHeight="1" s="12">
      <c r="A818" s="2" t="n"/>
      <c r="B818" s="2" t="n"/>
    </row>
    <row r="819" ht="15.75" customHeight="1" s="12">
      <c r="A819" s="2" t="n"/>
      <c r="B819" s="2" t="n"/>
    </row>
    <row r="820" ht="15.75" customHeight="1" s="12">
      <c r="A820" s="2" t="n"/>
      <c r="B820" s="2" t="n"/>
    </row>
    <row r="821" ht="15.75" customHeight="1" s="12">
      <c r="A821" s="2" t="n"/>
      <c r="B821" s="2" t="n"/>
    </row>
    <row r="822" ht="15.75" customHeight="1" s="12">
      <c r="A822" s="2" t="n"/>
      <c r="B822" s="2" t="n"/>
    </row>
    <row r="823" ht="15.75" customHeight="1" s="12">
      <c r="A823" s="2" t="n"/>
      <c r="B823" s="2" t="n"/>
    </row>
    <row r="824" ht="15.75" customHeight="1" s="12">
      <c r="A824" s="2" t="n"/>
      <c r="B824" s="2" t="n"/>
    </row>
    <row r="825" ht="15.75" customHeight="1" s="12">
      <c r="A825" s="2" t="n"/>
      <c r="B825" s="2" t="n"/>
    </row>
    <row r="826" ht="15.75" customHeight="1" s="12">
      <c r="A826" s="2" t="n"/>
      <c r="B826" s="2" t="n"/>
    </row>
    <row r="827" ht="15.75" customHeight="1" s="12">
      <c r="A827" s="2" t="n"/>
      <c r="B827" s="2" t="n"/>
    </row>
    <row r="828" ht="15.75" customHeight="1" s="12">
      <c r="A828" s="2" t="n"/>
      <c r="B828" s="2" t="n"/>
    </row>
    <row r="829" ht="15.75" customHeight="1" s="12">
      <c r="A829" s="2" t="n"/>
      <c r="B829" s="2" t="n"/>
    </row>
    <row r="830" ht="15.75" customHeight="1" s="12">
      <c r="A830" s="2" t="n"/>
      <c r="B830" s="2" t="n"/>
    </row>
    <row r="831" ht="15.75" customHeight="1" s="12">
      <c r="A831" s="2" t="n"/>
      <c r="B831" s="2" t="n"/>
    </row>
    <row r="832" ht="15.75" customHeight="1" s="12">
      <c r="A832" s="2" t="n"/>
      <c r="B832" s="2" t="n"/>
    </row>
    <row r="833" ht="15.75" customHeight="1" s="12">
      <c r="A833" s="2" t="n"/>
      <c r="B833" s="2" t="n"/>
    </row>
    <row r="834" ht="15.75" customHeight="1" s="12">
      <c r="A834" s="2" t="n"/>
      <c r="B834" s="2" t="n"/>
    </row>
    <row r="835" ht="15.75" customHeight="1" s="12">
      <c r="A835" s="2" t="n"/>
      <c r="B835" s="2" t="n"/>
    </row>
    <row r="836" ht="15.75" customHeight="1" s="12">
      <c r="A836" s="2" t="n"/>
      <c r="B836" s="2" t="n"/>
    </row>
    <row r="837" ht="15.75" customHeight="1" s="12">
      <c r="A837" s="2" t="n"/>
      <c r="B837" s="2" t="n"/>
    </row>
    <row r="838" ht="15.75" customHeight="1" s="12">
      <c r="A838" s="2" t="n"/>
      <c r="B838" s="2" t="n"/>
    </row>
    <row r="839" ht="15.75" customHeight="1" s="12">
      <c r="A839" s="2" t="n"/>
      <c r="B839" s="2" t="n"/>
    </row>
    <row r="840" ht="15.75" customHeight="1" s="12">
      <c r="A840" s="2" t="n"/>
      <c r="B840" s="2" t="n"/>
    </row>
    <row r="841" ht="15.75" customHeight="1" s="12">
      <c r="A841" s="2" t="n"/>
      <c r="B841" s="2" t="n"/>
    </row>
    <row r="842" ht="15.75" customHeight="1" s="12">
      <c r="A842" s="2" t="n"/>
      <c r="B842" s="2" t="n"/>
    </row>
    <row r="843" ht="15.75" customHeight="1" s="12">
      <c r="A843" s="2" t="n"/>
      <c r="B843" s="2" t="n"/>
    </row>
    <row r="844" ht="15.75" customHeight="1" s="12">
      <c r="A844" s="2" t="n"/>
      <c r="B844" s="2" t="n"/>
    </row>
    <row r="845" ht="15.75" customHeight="1" s="12">
      <c r="A845" s="2" t="n"/>
      <c r="B845" s="2" t="n"/>
    </row>
    <row r="846" ht="15.75" customHeight="1" s="12">
      <c r="A846" s="2" t="n"/>
      <c r="B846" s="2" t="n"/>
    </row>
    <row r="847" ht="15.75" customHeight="1" s="12">
      <c r="A847" s="2" t="n"/>
      <c r="B847" s="2" t="n"/>
    </row>
    <row r="848" ht="15.75" customHeight="1" s="12">
      <c r="A848" s="2" t="n"/>
      <c r="B848" s="2" t="n"/>
    </row>
    <row r="849" ht="15.75" customHeight="1" s="12">
      <c r="A849" s="2" t="n"/>
      <c r="B849" s="2" t="n"/>
    </row>
    <row r="850" ht="15.75" customHeight="1" s="12">
      <c r="A850" s="2" t="n"/>
      <c r="B850" s="2" t="n"/>
    </row>
    <row r="851" ht="15.75" customHeight="1" s="12">
      <c r="A851" s="2" t="n"/>
      <c r="B851" s="2" t="n"/>
    </row>
    <row r="852" ht="15.75" customHeight="1" s="12">
      <c r="A852" s="2" t="n"/>
      <c r="B852" s="2" t="n"/>
    </row>
    <row r="853" ht="15.75" customHeight="1" s="12">
      <c r="A853" s="2" t="n"/>
      <c r="B853" s="2" t="n"/>
    </row>
    <row r="854" ht="15.75" customHeight="1" s="12">
      <c r="A854" s="2" t="n"/>
      <c r="B854" s="2" t="n"/>
    </row>
    <row r="855" ht="15.75" customHeight="1" s="12">
      <c r="A855" s="2" t="n"/>
      <c r="B855" s="2" t="n"/>
    </row>
    <row r="856" ht="15.75" customHeight="1" s="12">
      <c r="A856" s="2" t="n"/>
      <c r="B856" s="2" t="n"/>
    </row>
    <row r="857" ht="15.75" customHeight="1" s="12">
      <c r="A857" s="2" t="n"/>
      <c r="B857" s="2" t="n"/>
    </row>
    <row r="858" ht="15.75" customHeight="1" s="12">
      <c r="A858" s="2" t="n"/>
      <c r="B858" s="2" t="n"/>
    </row>
    <row r="859" ht="15.75" customHeight="1" s="12">
      <c r="A859" s="2" t="n"/>
      <c r="B859" s="2" t="n"/>
    </row>
    <row r="860" ht="15.75" customHeight="1" s="12">
      <c r="A860" s="2" t="n"/>
      <c r="B860" s="2" t="n"/>
    </row>
    <row r="861" ht="15.75" customHeight="1" s="12">
      <c r="A861" s="2" t="n"/>
      <c r="B861" s="2" t="n"/>
    </row>
    <row r="862" ht="15.75" customHeight="1" s="12">
      <c r="A862" s="2" t="n"/>
      <c r="B862" s="2" t="n"/>
    </row>
    <row r="863" ht="15.75" customHeight="1" s="12">
      <c r="A863" s="2" t="n"/>
      <c r="B863" s="2" t="n"/>
    </row>
    <row r="864" ht="15.75" customHeight="1" s="12">
      <c r="A864" s="2" t="n"/>
      <c r="B864" s="2" t="n"/>
    </row>
    <row r="865" ht="15.75" customHeight="1" s="12">
      <c r="A865" s="2" t="n"/>
      <c r="B865" s="2" t="n"/>
    </row>
    <row r="866" ht="15.75" customHeight="1" s="12">
      <c r="A866" s="2" t="n"/>
      <c r="B866" s="2" t="n"/>
    </row>
    <row r="867" ht="15.75" customHeight="1" s="12">
      <c r="A867" s="2" t="n"/>
      <c r="B867" s="2" t="n"/>
    </row>
    <row r="868" ht="15.75" customHeight="1" s="12">
      <c r="A868" s="2" t="n"/>
      <c r="B868" s="2" t="n"/>
    </row>
    <row r="869" ht="15.75" customHeight="1" s="12">
      <c r="A869" s="2" t="n"/>
      <c r="B869" s="2" t="n"/>
    </row>
    <row r="870" ht="15.75" customHeight="1" s="12">
      <c r="A870" s="2" t="n"/>
      <c r="B870" s="2" t="n"/>
    </row>
    <row r="871" ht="15.75" customHeight="1" s="12">
      <c r="A871" s="2" t="n"/>
      <c r="B871" s="2" t="n"/>
    </row>
    <row r="872" ht="15.75" customHeight="1" s="12">
      <c r="A872" s="2" t="n"/>
      <c r="B872" s="2" t="n"/>
    </row>
    <row r="873" ht="15.75" customHeight="1" s="12">
      <c r="A873" s="2" t="n"/>
      <c r="B873" s="2" t="n"/>
    </row>
    <row r="874" ht="15.75" customHeight="1" s="12">
      <c r="A874" s="2" t="n"/>
      <c r="B874" s="2" t="n"/>
    </row>
    <row r="875" ht="15.75" customHeight="1" s="12">
      <c r="A875" s="2" t="n"/>
      <c r="B875" s="2" t="n"/>
    </row>
    <row r="876" ht="15.75" customHeight="1" s="12">
      <c r="A876" s="2" t="n"/>
      <c r="B876" s="2" t="n"/>
    </row>
    <row r="877" ht="15.75" customHeight="1" s="12">
      <c r="A877" s="2" t="n"/>
      <c r="B877" s="2" t="n"/>
    </row>
    <row r="878" ht="15.75" customHeight="1" s="12">
      <c r="A878" s="2" t="n"/>
      <c r="B878" s="2" t="n"/>
    </row>
    <row r="879" ht="15.75" customHeight="1" s="12">
      <c r="A879" s="2" t="n"/>
      <c r="B879" s="2" t="n"/>
    </row>
    <row r="880" ht="15.75" customHeight="1" s="12">
      <c r="A880" s="2" t="n"/>
      <c r="B880" s="2" t="n"/>
    </row>
    <row r="881" ht="15.75" customHeight="1" s="12">
      <c r="A881" s="2" t="n"/>
      <c r="B881" s="2" t="n"/>
    </row>
    <row r="882" ht="15.75" customHeight="1" s="12">
      <c r="A882" s="2" t="n"/>
      <c r="B882" s="2" t="n"/>
    </row>
    <row r="883" ht="15.75" customHeight="1" s="12">
      <c r="A883" s="2" t="n"/>
      <c r="B883" s="2" t="n"/>
    </row>
    <row r="884" ht="15.75" customHeight="1" s="12">
      <c r="A884" s="2" t="n"/>
      <c r="B884" s="2" t="n"/>
    </row>
    <row r="885" ht="15.75" customHeight="1" s="12">
      <c r="A885" s="2" t="n"/>
      <c r="B885" s="2" t="n"/>
    </row>
    <row r="886" ht="15.75" customHeight="1" s="12">
      <c r="A886" s="2" t="n"/>
      <c r="B886" s="2" t="n"/>
    </row>
    <row r="887" ht="15.75" customHeight="1" s="12">
      <c r="A887" s="2" t="n"/>
      <c r="B887" s="2" t="n"/>
    </row>
    <row r="888" ht="15.75" customHeight="1" s="12">
      <c r="A888" s="2" t="n"/>
      <c r="B888" s="2" t="n"/>
    </row>
    <row r="889" ht="15.75" customHeight="1" s="12">
      <c r="A889" s="2" t="n"/>
      <c r="B889" s="2" t="n"/>
    </row>
    <row r="890" ht="15.75" customHeight="1" s="12">
      <c r="A890" s="2" t="n"/>
      <c r="B890" s="2" t="n"/>
    </row>
    <row r="891" ht="15.75" customHeight="1" s="12">
      <c r="A891" s="2" t="n"/>
      <c r="B891" s="2" t="n"/>
    </row>
    <row r="892" ht="15.75" customHeight="1" s="12">
      <c r="A892" s="2" t="n"/>
      <c r="B892" s="2" t="n"/>
    </row>
    <row r="893" ht="15.75" customHeight="1" s="12">
      <c r="A893" s="2" t="n"/>
      <c r="B893" s="2" t="n"/>
    </row>
    <row r="894" ht="15.75" customHeight="1" s="12">
      <c r="A894" s="2" t="n"/>
      <c r="B894" s="2" t="n"/>
    </row>
    <row r="895" ht="15.75" customHeight="1" s="12">
      <c r="A895" s="2" t="n"/>
      <c r="B895" s="2" t="n"/>
    </row>
    <row r="896" ht="15.75" customHeight="1" s="12">
      <c r="A896" s="2" t="n"/>
      <c r="B896" s="2" t="n"/>
    </row>
    <row r="897" ht="15.75" customHeight="1" s="12">
      <c r="A897" s="2" t="n"/>
      <c r="B897" s="2" t="n"/>
    </row>
    <row r="898" ht="15.75" customHeight="1" s="12">
      <c r="A898" s="2" t="n"/>
      <c r="B898" s="2" t="n"/>
    </row>
    <row r="899" ht="15.75" customHeight="1" s="12">
      <c r="A899" s="2" t="n"/>
      <c r="B899" s="2" t="n"/>
    </row>
    <row r="900" ht="15.75" customHeight="1" s="12">
      <c r="A900" s="2" t="n"/>
      <c r="B900" s="2" t="n"/>
    </row>
    <row r="901" ht="15.75" customHeight="1" s="12">
      <c r="A901" s="2" t="n"/>
      <c r="B901" s="2" t="n"/>
    </row>
    <row r="902" ht="15.75" customHeight="1" s="12">
      <c r="A902" s="2" t="n"/>
      <c r="B902" s="2" t="n"/>
    </row>
    <row r="903" ht="15.75" customHeight="1" s="12">
      <c r="A903" s="2" t="n"/>
      <c r="B903" s="2" t="n"/>
    </row>
    <row r="904" ht="15.75" customHeight="1" s="12">
      <c r="A904" s="2" t="n"/>
      <c r="B904" s="2" t="n"/>
    </row>
    <row r="905" ht="15.75" customHeight="1" s="12">
      <c r="A905" s="2" t="n"/>
      <c r="B905" s="2" t="n"/>
    </row>
    <row r="906" ht="15.75" customHeight="1" s="12">
      <c r="A906" s="2" t="n"/>
      <c r="B906" s="2" t="n"/>
    </row>
    <row r="907" ht="15.75" customHeight="1" s="12">
      <c r="A907" s="2" t="n"/>
      <c r="B907" s="2" t="n"/>
    </row>
    <row r="908" ht="15.75" customHeight="1" s="12">
      <c r="A908" s="2" t="n"/>
      <c r="B908" s="2" t="n"/>
    </row>
    <row r="909" ht="15.75" customHeight="1" s="12">
      <c r="A909" s="2" t="n"/>
      <c r="B909" s="2" t="n"/>
    </row>
    <row r="910" ht="15.75" customHeight="1" s="12">
      <c r="A910" s="2" t="n"/>
      <c r="B910" s="2" t="n"/>
    </row>
    <row r="911" ht="15.75" customHeight="1" s="12">
      <c r="A911" s="2" t="n"/>
      <c r="B911" s="2" t="n"/>
    </row>
    <row r="912" ht="15.75" customHeight="1" s="12">
      <c r="A912" s="2" t="n"/>
      <c r="B912" s="2" t="n"/>
    </row>
    <row r="913" ht="15.75" customHeight="1" s="12">
      <c r="A913" s="2" t="n"/>
      <c r="B913" s="2" t="n"/>
    </row>
    <row r="914" ht="15.75" customHeight="1" s="12">
      <c r="A914" s="2" t="n"/>
      <c r="B914" s="2" t="n"/>
    </row>
    <row r="915" ht="15.75" customHeight="1" s="12">
      <c r="A915" s="2" t="n"/>
      <c r="B915" s="2" t="n"/>
    </row>
    <row r="916" ht="15.75" customHeight="1" s="12">
      <c r="A916" s="2" t="n"/>
      <c r="B916" s="2" t="n"/>
    </row>
    <row r="917" ht="15.75" customHeight="1" s="12">
      <c r="A917" s="2" t="n"/>
      <c r="B917" s="2" t="n"/>
    </row>
    <row r="918" ht="15.75" customHeight="1" s="12">
      <c r="A918" s="2" t="n"/>
      <c r="B918" s="2" t="n"/>
    </row>
    <row r="919" ht="15.75" customHeight="1" s="12">
      <c r="A919" s="2" t="n"/>
      <c r="B919" s="2" t="n"/>
    </row>
    <row r="920" ht="15.75" customHeight="1" s="12">
      <c r="A920" s="2" t="n"/>
      <c r="B920" s="2" t="n"/>
    </row>
    <row r="921" ht="15.75" customHeight="1" s="12">
      <c r="A921" s="2" t="n"/>
      <c r="B921" s="2" t="n"/>
    </row>
    <row r="922" ht="15.75" customHeight="1" s="12">
      <c r="A922" s="2" t="n"/>
      <c r="B922" s="2" t="n"/>
    </row>
    <row r="923" ht="15.75" customHeight="1" s="12">
      <c r="A923" s="2" t="n"/>
      <c r="B923" s="2" t="n"/>
    </row>
    <row r="924" ht="15.75" customHeight="1" s="12">
      <c r="A924" s="2" t="n"/>
      <c r="B924" s="2" t="n"/>
    </row>
    <row r="925" ht="15.75" customHeight="1" s="12">
      <c r="A925" s="2" t="n"/>
      <c r="B925" s="2" t="n"/>
    </row>
    <row r="926" ht="15.75" customHeight="1" s="12">
      <c r="A926" s="2" t="n"/>
      <c r="B926" s="2" t="n"/>
    </row>
    <row r="927" ht="15.75" customHeight="1" s="12">
      <c r="A927" s="2" t="n"/>
      <c r="B927" s="2" t="n"/>
    </row>
    <row r="928" ht="15.75" customHeight="1" s="12">
      <c r="A928" s="2" t="n"/>
      <c r="B928" s="2" t="n"/>
    </row>
    <row r="929" ht="15.75" customHeight="1" s="12">
      <c r="A929" s="2" t="n"/>
      <c r="B929" s="2" t="n"/>
    </row>
    <row r="930" ht="15.75" customHeight="1" s="12">
      <c r="A930" s="2" t="n"/>
      <c r="B930" s="2" t="n"/>
    </row>
    <row r="931" ht="15.75" customHeight="1" s="12">
      <c r="A931" s="2" t="n"/>
      <c r="B931" s="2" t="n"/>
    </row>
    <row r="932" ht="15.75" customHeight="1" s="12">
      <c r="A932" s="2" t="n"/>
      <c r="B932" s="2" t="n"/>
    </row>
    <row r="933" ht="15.75" customHeight="1" s="12">
      <c r="A933" s="2" t="n"/>
      <c r="B933" s="2" t="n"/>
    </row>
    <row r="934" ht="15.75" customHeight="1" s="12">
      <c r="A934" s="2" t="n"/>
      <c r="B934" s="2" t="n"/>
    </row>
    <row r="935" ht="15.75" customHeight="1" s="12">
      <c r="A935" s="2" t="n"/>
      <c r="B935" s="2" t="n"/>
    </row>
    <row r="936" ht="15.75" customHeight="1" s="12">
      <c r="A936" s="2" t="n"/>
      <c r="B936" s="2" t="n"/>
    </row>
    <row r="937" ht="15.75" customHeight="1" s="12">
      <c r="A937" s="2" t="n"/>
      <c r="B937" s="2" t="n"/>
    </row>
    <row r="938" ht="15.75" customHeight="1" s="12">
      <c r="A938" s="2" t="n"/>
      <c r="B938" s="2" t="n"/>
    </row>
    <row r="939" ht="15.75" customHeight="1" s="12">
      <c r="A939" s="2" t="n"/>
      <c r="B939" s="2" t="n"/>
    </row>
    <row r="940" ht="15.75" customHeight="1" s="12">
      <c r="A940" s="2" t="n"/>
      <c r="B940" s="2" t="n"/>
    </row>
    <row r="941" ht="15.75" customHeight="1" s="12">
      <c r="A941" s="2" t="n"/>
      <c r="B941" s="2" t="n"/>
    </row>
    <row r="942" ht="15.75" customHeight="1" s="12">
      <c r="A942" s="2" t="n"/>
      <c r="B942" s="2" t="n"/>
    </row>
    <row r="943" ht="15.75" customHeight="1" s="12">
      <c r="A943" s="2" t="n"/>
      <c r="B943" s="2" t="n"/>
    </row>
    <row r="944" ht="15.75" customHeight="1" s="12">
      <c r="A944" s="2" t="n"/>
      <c r="B944" s="2" t="n"/>
    </row>
    <row r="945" ht="15.75" customHeight="1" s="12">
      <c r="A945" s="2" t="n"/>
      <c r="B945" s="2" t="n"/>
    </row>
    <row r="946" ht="15.75" customHeight="1" s="12">
      <c r="A946" s="2" t="n"/>
      <c r="B946" s="2" t="n"/>
    </row>
    <row r="947" ht="15.75" customHeight="1" s="12">
      <c r="A947" s="2" t="n"/>
      <c r="B947" s="2" t="n"/>
    </row>
    <row r="948" ht="15.75" customHeight="1" s="12">
      <c r="A948" s="2" t="n"/>
      <c r="B948" s="2" t="n"/>
    </row>
    <row r="949" ht="15.75" customHeight="1" s="12">
      <c r="A949" s="2" t="n"/>
      <c r="B949" s="2" t="n"/>
    </row>
    <row r="950" ht="15.75" customHeight="1" s="12">
      <c r="A950" s="2" t="n"/>
      <c r="B950" s="2" t="n"/>
    </row>
    <row r="951" ht="15.75" customHeight="1" s="12">
      <c r="A951" s="2" t="n"/>
      <c r="B951" s="2" t="n"/>
    </row>
    <row r="952" ht="15.75" customHeight="1" s="12">
      <c r="A952" s="2" t="n"/>
      <c r="B952" s="2" t="n"/>
    </row>
    <row r="953" ht="15.75" customHeight="1" s="12">
      <c r="A953" s="2" t="n"/>
      <c r="B953" s="2" t="n"/>
    </row>
    <row r="954" ht="15.75" customHeight="1" s="12">
      <c r="A954" s="2" t="n"/>
      <c r="B954" s="2" t="n"/>
    </row>
    <row r="955" ht="15.75" customHeight="1" s="12">
      <c r="A955" s="2" t="n"/>
      <c r="B955" s="2" t="n"/>
    </row>
    <row r="956" ht="15.75" customHeight="1" s="12">
      <c r="A956" s="2" t="n"/>
      <c r="B956" s="2" t="n"/>
    </row>
    <row r="957" ht="15.75" customHeight="1" s="12">
      <c r="A957" s="2" t="n"/>
      <c r="B957" s="2" t="n"/>
    </row>
    <row r="958" ht="15.75" customHeight="1" s="12">
      <c r="A958" s="2" t="n"/>
      <c r="B958" s="2" t="n"/>
    </row>
    <row r="959" ht="15.75" customHeight="1" s="12">
      <c r="A959" s="2" t="n"/>
      <c r="B959" s="2" t="n"/>
    </row>
    <row r="960" ht="15.75" customHeight="1" s="12">
      <c r="A960" s="2" t="n"/>
      <c r="B960" s="2" t="n"/>
    </row>
    <row r="961" ht="15.75" customHeight="1" s="12">
      <c r="A961" s="2" t="n"/>
      <c r="B961" s="2" t="n"/>
    </row>
    <row r="962" ht="15.75" customHeight="1" s="12">
      <c r="A962" s="2" t="n"/>
      <c r="B962" s="2" t="n"/>
    </row>
    <row r="963" ht="15.75" customHeight="1" s="12">
      <c r="A963" s="2" t="n"/>
      <c r="B963" s="2" t="n"/>
    </row>
    <row r="964" ht="15.75" customHeight="1" s="12">
      <c r="A964" s="2" t="n"/>
      <c r="B964" s="2" t="n"/>
    </row>
    <row r="965" ht="15.75" customHeight="1" s="12">
      <c r="A965" s="2" t="n"/>
      <c r="B965" s="2" t="n"/>
    </row>
    <row r="966" ht="15.75" customHeight="1" s="12">
      <c r="A966" s="2" t="n"/>
      <c r="B966" s="2" t="n"/>
    </row>
    <row r="967" ht="15.75" customHeight="1" s="12">
      <c r="A967" s="2" t="n"/>
      <c r="B967" s="2" t="n"/>
    </row>
    <row r="968" ht="15.75" customHeight="1" s="12">
      <c r="A968" s="2" t="n"/>
      <c r="B968" s="2" t="n"/>
    </row>
    <row r="969" ht="15.75" customHeight="1" s="12">
      <c r="A969" s="2" t="n"/>
      <c r="B969" s="2" t="n"/>
    </row>
    <row r="970" ht="15.75" customHeight="1" s="12">
      <c r="A970" s="2" t="n"/>
      <c r="B970" s="2" t="n"/>
    </row>
    <row r="971" ht="15.75" customHeight="1" s="12">
      <c r="A971" s="2" t="n"/>
      <c r="B971" s="2" t="n"/>
    </row>
    <row r="972" ht="15.75" customHeight="1" s="12">
      <c r="A972" s="2" t="n"/>
      <c r="B972" s="2" t="n"/>
    </row>
    <row r="973" ht="15.75" customHeight="1" s="12">
      <c r="A973" s="2" t="n"/>
      <c r="B973" s="2" t="n"/>
    </row>
    <row r="974" ht="15.75" customHeight="1" s="12">
      <c r="A974" s="2" t="n"/>
      <c r="B974" s="2" t="n"/>
    </row>
    <row r="975" ht="15.75" customHeight="1" s="12">
      <c r="A975" s="2" t="n"/>
      <c r="B975" s="2" t="n"/>
    </row>
    <row r="976" ht="15.75" customHeight="1" s="12">
      <c r="A976" s="2" t="n"/>
      <c r="B976" s="2" t="n"/>
    </row>
    <row r="977" ht="15.75" customHeight="1" s="12">
      <c r="A977" s="2" t="n"/>
      <c r="B977" s="2" t="n"/>
    </row>
    <row r="978" ht="15.75" customHeight="1" s="12">
      <c r="A978" s="2" t="n"/>
      <c r="B978" s="2" t="n"/>
    </row>
    <row r="979" ht="15.75" customHeight="1" s="12">
      <c r="A979" s="2" t="n"/>
      <c r="B979" s="2" t="n"/>
    </row>
    <row r="980" ht="15.75" customHeight="1" s="12">
      <c r="A980" s="2" t="n"/>
      <c r="B980" s="2" t="n"/>
    </row>
    <row r="981" ht="15.75" customHeight="1" s="12">
      <c r="A981" s="2" t="n"/>
      <c r="B981" s="2" t="n"/>
    </row>
    <row r="982" ht="15.75" customHeight="1" s="12">
      <c r="A982" s="2" t="n"/>
      <c r="B982" s="2" t="n"/>
    </row>
    <row r="983" ht="15.75" customHeight="1" s="12">
      <c r="A983" s="2" t="n"/>
      <c r="B983" s="2" t="n"/>
    </row>
    <row r="984" ht="15.75" customHeight="1" s="12">
      <c r="A984" s="2" t="n"/>
      <c r="B984" s="2" t="n"/>
    </row>
    <row r="985" ht="15.75" customHeight="1" s="12">
      <c r="A985" s="2" t="n"/>
      <c r="B985" s="2" t="n"/>
    </row>
    <row r="986" ht="15.75" customHeight="1" s="12">
      <c r="A986" s="2" t="n"/>
      <c r="B986" s="2" t="n"/>
    </row>
    <row r="987" ht="15.75" customHeight="1" s="12">
      <c r="A987" s="2" t="n"/>
      <c r="B987" s="2" t="n"/>
    </row>
    <row r="988" ht="15.75" customHeight="1" s="12">
      <c r="A988" s="2" t="n"/>
      <c r="B988" s="2" t="n"/>
    </row>
    <row r="989" ht="15.75" customHeight="1" s="12">
      <c r="A989" s="2" t="n"/>
      <c r="B989" s="2" t="n"/>
    </row>
    <row r="990" ht="15.75" customHeight="1" s="12">
      <c r="A990" s="2" t="n"/>
      <c r="B990" s="2" t="n"/>
    </row>
    <row r="991" ht="15.75" customHeight="1" s="12">
      <c r="A991" s="2" t="n"/>
      <c r="B991" s="2" t="n"/>
    </row>
    <row r="992" ht="15.75" customHeight="1" s="12">
      <c r="A992" s="2" t="n"/>
      <c r="B992" s="2" t="n"/>
    </row>
    <row r="993" ht="15.75" customHeight="1" s="12">
      <c r="A993" s="2" t="n"/>
      <c r="B993" s="2" t="n"/>
    </row>
    <row r="994" ht="15.75" customHeight="1" s="12">
      <c r="A994" s="2" t="n"/>
      <c r="B994" s="2" t="n"/>
    </row>
    <row r="995" ht="15.75" customHeight="1" s="12">
      <c r="A995" s="2" t="n"/>
      <c r="B995" s="2" t="n"/>
    </row>
    <row r="996" ht="15.75" customHeight="1" s="12">
      <c r="A996" s="2" t="n"/>
      <c r="B996" s="2" t="n"/>
    </row>
    <row r="997" ht="15.75" customHeight="1" s="12">
      <c r="A997" s="2" t="n"/>
      <c r="B997" s="2" t="n"/>
    </row>
    <row r="998" ht="15.75" customHeight="1" s="12">
      <c r="A998" s="2" t="n"/>
      <c r="B998" s="2" t="n"/>
    </row>
    <row r="999" ht="15.75" customHeight="1" s="12">
      <c r="A999" s="2" t="n"/>
      <c r="B999" s="2" t="n"/>
    </row>
    <row r="1000" ht="15.75" customHeight="1" s="12">
      <c r="A1000" s="2" t="n"/>
      <c r="B1000" s="2" t="n"/>
    </row>
  </sheetData>
  <mergeCells count="1">
    <mergeCell ref="A16:B19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12" min="1" max="1"/>
    <col width="22" customWidth="1" style="12" min="2" max="2"/>
    <col width="16" customWidth="1" style="12" min="3" max="38"/>
  </cols>
  <sheetData>
    <row r="1" ht="15" customHeight="1" s="12">
      <c r="A1" s="8" t="inlineStr">
        <is>
          <t>match_status</t>
        </is>
      </c>
      <c r="B1" s="8" t="inlineStr">
        <is>
          <t>aa_sequence</t>
        </is>
      </c>
      <c r="C1" s="8" t="inlineStr">
        <is>
          <t>pv1_rowid</t>
        </is>
      </c>
      <c r="D1" s="8" t="inlineStr">
        <is>
          <t>pv1_retrieved</t>
        </is>
      </c>
      <c r="E1" s="8" t="inlineStr">
        <is>
          <t>pv1_component</t>
        </is>
      </c>
      <c r="F1" s="8" t="inlineStr">
        <is>
          <t>pv1_gene</t>
        </is>
      </c>
      <c r="G1" s="8" t="inlineStr">
        <is>
          <t>pv1_domain</t>
        </is>
      </c>
      <c r="H1" s="8" t="inlineStr">
        <is>
          <t>pv1_cath</t>
        </is>
      </c>
      <c r="I1" s="8" t="inlineStr">
        <is>
          <t>pv1_kingdom</t>
        </is>
      </c>
      <c r="J1" s="8" t="inlineStr">
        <is>
          <t>pv1_host</t>
        </is>
      </c>
      <c r="K1" s="8" t="inlineStr">
        <is>
          <t>pv1_enzyme_name</t>
        </is>
      </c>
      <c r="L1" s="8" t="inlineStr">
        <is>
          <t>pv1_substrate</t>
        </is>
      </c>
      <c r="M1" s="8" t="inlineStr">
        <is>
          <t>pv1_EC</t>
        </is>
      </c>
      <c r="N1" s="8" t="inlineStr">
        <is>
          <t>pv1_reference</t>
        </is>
      </c>
      <c r="O1" s="8" t="inlineStr">
        <is>
          <t>pv1_pazy_accession</t>
        </is>
      </c>
      <c r="P1" s="8" t="inlineStr">
        <is>
          <t>pv1_BLAST_link</t>
        </is>
      </c>
      <c r="Q1" s="8" t="inlineStr">
        <is>
          <t>pv1_pdb_accession</t>
        </is>
      </c>
      <c r="R1" s="8" t="inlineStr">
        <is>
          <t>pv1_uniprot_accession</t>
        </is>
      </c>
      <c r="S1" s="8" t="inlineStr">
        <is>
          <t>pv1_retrieved_name</t>
        </is>
      </c>
      <c r="T1" s="8" t="inlineStr">
        <is>
          <t>pv1_retrieved_host</t>
        </is>
      </c>
      <c r="U1" s="8" t="inlineStr">
        <is>
          <t>pv1_synthesized</t>
        </is>
      </c>
      <c r="V1" s="8" t="inlineStr">
        <is>
          <t>pv1_enzymatic_activity</t>
        </is>
      </c>
      <c r="W1" s="8" t="inlineStr">
        <is>
          <t>pv1_aa_sequence</t>
        </is>
      </c>
      <c r="X1" s="8" t="inlineStr">
        <is>
          <t>pv1__n_rows_collapsed</t>
        </is>
      </c>
      <c r="Y1" s="8" t="inlineStr">
        <is>
          <t>retr_enzyme_name</t>
        </is>
      </c>
      <c r="Z1" s="8" t="inlineStr">
        <is>
          <t>retr_accession</t>
        </is>
      </c>
      <c r="AA1" s="8" t="inlineStr">
        <is>
          <t>retr_direct_or_indirect_activity</t>
        </is>
      </c>
      <c r="AB1" s="8" t="inlineStr">
        <is>
          <t>retr_pazy_id</t>
        </is>
      </c>
      <c r="AC1" s="8" t="inlineStr">
        <is>
          <t>retr_doi</t>
        </is>
      </c>
      <c r="AD1" s="8" t="inlineStr">
        <is>
          <t>retr_aa_sequence</t>
        </is>
      </c>
      <c r="AE1" s="8" t="inlineStr">
        <is>
          <t>retr_organism</t>
        </is>
      </c>
      <c r="AF1" s="8" t="inlineStr">
        <is>
          <t>retr_ncbi_taxonomy_id</t>
        </is>
      </c>
      <c r="AG1" s="8" t="inlineStr">
        <is>
          <t>retr_tier_s_label</t>
        </is>
      </c>
      <c r="AH1" s="8" t="inlineStr">
        <is>
          <t>retr_sequence_source</t>
        </is>
      </c>
      <c r="AI1" s="8" t="inlineStr">
        <is>
          <t>retr_dna_acc_to_pro_acc</t>
        </is>
      </c>
      <c r="AJ1" s="8" t="inlineStr">
        <is>
          <t>retr_aa_sequence.1</t>
        </is>
      </c>
      <c r="AK1" s="8" t="inlineStr">
        <is>
          <t>retr_comment</t>
        </is>
      </c>
      <c r="AL1" s="8" t="inlineStr">
        <is>
          <t>retr__n_rows_collapsed</t>
        </is>
      </c>
    </row>
    <row r="2" ht="15" customHeight="1" s="12">
      <c r="A2" s="5" t="inlineStr">
        <is>
          <t>plasticome.v1_only</t>
        </is>
      </c>
      <c r="B2" s="5" t="inlineStr">
        <is>
          <t>MPPHAARPGPAQNRRGCAMAVMTPRRERSSLLSRALQVTAAAATALVTAVSLAAPAHAANPYERGPNPTDALLEARSGPFSVSEENVSRLGASGFGGGTIYYPRENNTYGAVAISPGYTGTQASVAWLGKRIASHGFVVITIDTITTLDQPDSRARQLNAALDYMINDASSAVRSRIDSSRLAVMGHSMGGGGSLRLASQRPDLKAAIPLTPWHLNKNWSSVRVPTLIIGADLDTIAPVLTHARPFYNSLPTSISKAYLELDGATHFAPNIPNKIIGKYSVAWLKRFVDNDTRYTQFLCPGPRDGLFGEVEEYRSTCPF</t>
        </is>
      </c>
      <c r="C2" s="5" t="n">
        <v>29</v>
      </c>
      <c r="D2" s="5" t="inlineStr">
        <is>
          <t>E5BBQ2</t>
        </is>
      </c>
      <c r="E2" s="5" t="n">
        <v>1</v>
      </c>
      <c r="F2" s="5" t="inlineStr">
        <is>
          <t>Ipet</t>
        </is>
      </c>
      <c r="G2" s="5" t="inlineStr">
        <is>
          <t>Alpha/Beta Hydrolase</t>
        </is>
      </c>
      <c r="H2" s="5" t="inlineStr">
        <is>
          <t>3.40.50.1820</t>
        </is>
      </c>
      <c r="I2" s="5" t="inlineStr">
        <is>
          <t>Bacteria</t>
        </is>
      </c>
      <c r="J2" s="5" t="inlineStr">
        <is>
          <t>Thermobifida fusca</t>
        </is>
      </c>
      <c r="K2" s="5" t="inlineStr">
        <is>
          <t>TfCut_1; Cut-1.kw3</t>
        </is>
      </c>
      <c r="L2" s="5" t="inlineStr">
        <is>
          <t>PET</t>
        </is>
      </c>
      <c r="M2" s="5" t="inlineStr">
        <is>
          <t>EC 3.1.1.101</t>
        </is>
      </c>
      <c r="N2" s="5" t="inlineStr">
        <is>
          <t>Herrero Acero, 2011</t>
        </is>
      </c>
      <c r="O2" s="5" t="inlineStr">
        <is>
          <t>E5BBQ2</t>
        </is>
      </c>
      <c r="P2" s="5" t="inlineStr">
        <is>
          <t>E5BBQ2</t>
        </is>
      </c>
      <c r="Q2" s="5" t="inlineStr">
        <is>
          <t>-</t>
        </is>
      </c>
      <c r="R2" s="5" t="inlineStr">
        <is>
          <t>E5BBQ2</t>
        </is>
      </c>
      <c r="S2" s="5" t="inlineStr">
        <is>
          <t>E5BBQ2_THEFU Poly(ethylene terephthalate) hydrolase</t>
        </is>
      </c>
      <c r="T2" s="5" t="inlineStr">
        <is>
          <t>Thermobifida fusca</t>
        </is>
      </c>
      <c r="U2" s="5">
        <f>FALSE()</f>
        <v/>
      </c>
      <c r="V2" s="5">
        <f>TRUE()</f>
        <v/>
      </c>
      <c r="W2" s="5" t="inlineStr">
        <is>
          <t>MPPHAARPGPAQNRRGCAMAVMTPRRERSSLLSRALQVTAAAATALVTAVSLAAPAHAANPYERGPNPTDALLEARSGPFSVSEENVSRLGASGFGGGTIYYPRENNTYGAVAISPGYTGTQASVAWLGKRIASHGFVVITIDTITTLDQPDSRARQLNAALDYMINDASSAVRSRIDSSRLAVMGHSMGGGGSLRLASQRPDLKAAIPLTPWHLNKNWSSVRVPTLIIGADLDTIAPVLTHARPFYNSLPTSISKAYLELDGATHFAPNIPNKIIGKYSVAWLKRFVDNDTRYTQFLCPGPRDGLFGEVEEYRSTCPF</t>
        </is>
      </c>
      <c r="X2" s="5" t="n">
        <v>1</v>
      </c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</row>
    <row r="3" ht="15" customHeight="1" s="12">
      <c r="A3" s="5" t="inlineStr">
        <is>
          <t>plasticome.v1_only</t>
        </is>
      </c>
      <c r="B3" s="5" t="inlineStr">
        <is>
          <t>MQLNKTQASPVAGHASRVWTRAIAAASLGILTAIAVPGPAMAADNPYQRGPDPTRDSVAASRGTFATASTTVGSGNGFGAGFIYYPTDTSQGTFGAVAIVPGYTATWAAEGAWMGHWLASFGFVVIGIDTINRNDWDTARGTQLLAALDYLTQRSTVRDRVDASRLAVMGHSMGGGGAMYAALQRPSLKAAVGLAPFSPSQNLNGMRVPTMLLAGQHDTTTTPASITSLYNGIPAATEKAYLELSGAGHGFPTSNNSVMMRKVIPWLKIFVDSDVRYTQFLCPLMDNTGIRSYQSTCPLLPGTPTPPNRYEAETSPAVCTGTIASNHTGYSGTGFCDGNNATNAYAQFTVNASAAGSMTLRVRFANGTTTARPASLIVNGSTVQTPSFEGTGAWTTWATKTLTVTLNAGNNTIRFNPTTANGLPNLDYIEIAAP</t>
        </is>
      </c>
      <c r="C3" s="5" t="n">
        <v>83</v>
      </c>
      <c r="D3" s="5" t="inlineStr">
        <is>
          <t>WP_117215036.1</t>
        </is>
      </c>
      <c r="E3" s="5" t="n">
        <v>1</v>
      </c>
      <c r="F3" s="5" t="inlineStr">
        <is>
          <t>Ipet</t>
        </is>
      </c>
      <c r="G3" s="5" t="inlineStr">
        <is>
          <t>Alpha/Beta Hydrolase</t>
        </is>
      </c>
      <c r="H3" s="5" t="inlineStr">
        <is>
          <t>3.40.50.1820</t>
        </is>
      </c>
      <c r="I3" s="5" t="inlineStr">
        <is>
          <t>Bacteria</t>
        </is>
      </c>
      <c r="J3" s="5" t="inlineStr">
        <is>
          <t>Allorhizocoloa rhizosphaerae</t>
        </is>
      </c>
      <c r="K3" s="5" t="inlineStr">
        <is>
          <t>Enzyme 407</t>
        </is>
      </c>
      <c r="L3" s="5" t="inlineStr">
        <is>
          <t>PET</t>
        </is>
      </c>
      <c r="M3" s="5" t="inlineStr">
        <is>
          <t>-</t>
        </is>
      </c>
      <c r="N3" s="5" t="inlineStr">
        <is>
          <t>Erickson, 2022</t>
        </is>
      </c>
      <c r="O3" s="5" t="inlineStr">
        <is>
          <t>WP_117215036.1</t>
        </is>
      </c>
      <c r="P3" s="5" t="inlineStr">
        <is>
          <t>WP_117215036.1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carbohydrate-binding protein</t>
        </is>
      </c>
      <c r="T3" s="5" t="inlineStr">
        <is>
          <t>Allorhizocola rhizosphaerae</t>
        </is>
      </c>
      <c r="U3" s="5">
        <f>FALSE()</f>
        <v/>
      </c>
      <c r="V3" s="5">
        <f>TRUE()</f>
        <v/>
      </c>
      <c r="W3" s="5" t="inlineStr">
        <is>
          <t>MQLNKTQASPVAGHASRVWTRAIAAASLGILTAIAVPGPAMAADNPYQRGPDPTRDSVAASRGTFATASTTVGSGNGFGAGFIYYPTDTSQGTFGAVAIVPGYTATWAAEGAWMGHWLASFGFVVIGIDTINRNDWDTARGTQLLAALDYLTQRSTVRDRVDASRLAVMGHSMGGGGAMYAALQRPSLKAAVGLAPFSPSQNLNGMRVPTMLLAGQHDTTTTPASITSLYNGIPAATEKAYLELSGAGHGFPTSNNSVMMRKVIPWLKIFVDSDVRYTQFLCPLMDNTGIRSYQSTCPLLPGTPTPPNRYEAETSPAVCTGTIASNHTGYSGTGFCDGNNATNAYAQFTVNASAAGSMTLRVRFANGTTTARPASLIVNGSTVQTPSFEGTGAWTTWATKTLTVTLNAGNNTIRFNPTTANGLPNLDYIEIAAP</t>
        </is>
      </c>
      <c r="X3" s="5" t="n">
        <v>1</v>
      </c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15" customHeight="1" s="12">
      <c r="A4" s="5" t="inlineStr">
        <is>
          <t>plasticome.v1_only</t>
        </is>
      </c>
      <c r="B4" s="5" t="inlineStr">
        <is>
          <t>MQDHMRTGAAHHASTGSPHRRSGQLARLATAVAAVVGLTTLSGPGAQAADNPYERGPAPTTASIEAARGPYAVSQTTVSSLAVTGFGGGTIYYPTSTGDGTFGAIAVSPGYTATQSSIAWLGPRLASQGFVVFTIDTLTTLDQPDSRGRQLLAALDHLTQVSSVRTRVDGSRLGVMGHSMGGGGSLEAAKARPSLQAAIPLTPWNLDKSWPEVGTPTLIVGADGDTVAPVASHAEPFYSSLPSSLDRAYLELNNATHFTPNSSNTTIAKYGISWLKRFVDNDTRYEQFLCPLPQPSTTIDEYRGNCPHTS</t>
        </is>
      </c>
      <c r="C4" s="5" t="n">
        <v>81</v>
      </c>
      <c r="D4" s="5" t="inlineStr">
        <is>
          <t>WP_107095481.1</t>
        </is>
      </c>
      <c r="E4" s="5" t="n">
        <v>1</v>
      </c>
      <c r="F4" s="5" t="inlineStr">
        <is>
          <t>Ipet</t>
        </is>
      </c>
      <c r="G4" s="5" t="inlineStr">
        <is>
          <t>Alpha/Beta Hydrolase</t>
        </is>
      </c>
      <c r="H4" s="5" t="inlineStr">
        <is>
          <t>3.40.50.1820</t>
        </is>
      </c>
      <c r="I4" s="5" t="inlineStr">
        <is>
          <t>Bacteria</t>
        </is>
      </c>
      <c r="J4" s="5" t="inlineStr">
        <is>
          <t>Actinobacteria bacterium OV320</t>
        </is>
      </c>
      <c r="K4" s="5" t="inlineStr">
        <is>
          <t>Enzyme 607</t>
        </is>
      </c>
      <c r="L4" s="5" t="inlineStr">
        <is>
          <t>PET</t>
        </is>
      </c>
      <c r="M4" s="5" t="inlineStr">
        <is>
          <t>-</t>
        </is>
      </c>
      <c r="N4" s="5" t="inlineStr">
        <is>
          <t>Erickson, 2022</t>
        </is>
      </c>
      <c r="O4" s="5" t="inlineStr">
        <is>
          <t>WP_107095481.1</t>
        </is>
      </c>
      <c r="P4" s="5" t="inlineStr">
        <is>
          <t>WP_107095481.1</t>
        </is>
      </c>
      <c r="Q4" s="5" t="inlineStr">
        <is>
          <t>-</t>
        </is>
      </c>
      <c r="R4" s="5" t="inlineStr">
        <is>
          <t>-</t>
        </is>
      </c>
      <c r="S4" s="5" t="inlineStr">
        <is>
          <t>alpha/beta hydrolase</t>
        </is>
      </c>
      <c r="T4" s="5" t="inlineStr">
        <is>
          <t>Actinobacteria bacterium OV320</t>
        </is>
      </c>
      <c r="U4" s="5">
        <f>FALSE()</f>
        <v/>
      </c>
      <c r="V4" s="5">
        <f>TRUE()</f>
        <v/>
      </c>
      <c r="W4" s="5" t="inlineStr">
        <is>
          <t>MQDHMRTGAAHHASTGSPHRRSGQLARLATAVAAVVGLTTLSGPGAQAADNPYERGPAPTTASIEAARGPYAVSQTTVSSLAVTGFGGGTIYYPTSTGDGTFGAIAVSPGYTATQSSIAWLGPRLASQGFVVFTIDTLTTLDQPDSRGRQLLAALDHLTQVSSVRTRVDGSRLGVMGHSMGGGGSLEAAKARPSLQAAIPLTPWNLDKSWPEVGTPTLIVGADGDTVAPVASHAEPFYSSLPSSLDRAYLELNNATHFTPNSSNTTIAKYGISWLKRFVDNDTRYEQFLCPLPQPSTTIDEYRGNCPHTS</t>
        </is>
      </c>
      <c r="X4" s="5" t="n">
        <v>1</v>
      </c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5" customHeight="1" s="12">
      <c r="A5" s="5" t="inlineStr">
        <is>
          <t>plasticome.v1_only</t>
        </is>
      </c>
      <c r="B5" s="5" t="inlineStr">
        <is>
          <t>MVDITGNGMAATAPTDERIVDKPLPQPQIRSGNVRAMPAARKLAQEHGIDLSTLTGSGPGGVIVKEDVERAITARAVPV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SADN</t>
        </is>
      </c>
      <c r="C5" s="5" t="n">
        <v>3</v>
      </c>
      <c r="D5" s="5" t="inlineStr">
        <is>
          <t>7QJM</t>
        </is>
      </c>
      <c r="E5" s="5" t="n">
        <v>1</v>
      </c>
      <c r="F5" s="5" t="inlineStr">
        <is>
          <t>Ipet</t>
        </is>
      </c>
      <c r="G5" s="5" t="inlineStr">
        <is>
          <t>Alpha/Beta Hydrolase</t>
        </is>
      </c>
      <c r="H5" s="5" t="inlineStr">
        <is>
          <t>3.40.50.1820</t>
        </is>
      </c>
      <c r="I5" s="5" t="inlineStr">
        <is>
          <t>Bacteria</t>
        </is>
      </c>
      <c r="J5" s="5" t="inlineStr">
        <is>
          <t>Chloroflexus sp. MS-G</t>
        </is>
      </c>
      <c r="K5" s="5" t="inlineStr">
        <is>
          <t>Enzyme 202</t>
        </is>
      </c>
      <c r="L5" s="5" t="inlineStr">
        <is>
          <t>PET</t>
        </is>
      </c>
      <c r="M5" s="5" t="inlineStr">
        <is>
          <t>-</t>
        </is>
      </c>
      <c r="N5" s="5" t="inlineStr">
        <is>
          <t>Erickson, 2022</t>
        </is>
      </c>
      <c r="O5" s="5" t="inlineStr">
        <is>
          <t>YNPsite05_CeleraDRAFT_401410</t>
        </is>
      </c>
      <c r="P5" s="5" t="inlineStr">
        <is>
          <t>7QJM</t>
        </is>
      </c>
      <c r="Q5" s="5" t="inlineStr">
        <is>
          <t>7QJM</t>
        </is>
      </c>
      <c r="R5" s="5" t="inlineStr">
        <is>
          <t>-</t>
        </is>
      </c>
      <c r="S5" s="5" t="inlineStr">
        <is>
          <t>A alpha/beta-hydrolase</t>
        </is>
      </c>
      <c r="T5" s="5" t="inlineStr">
        <is>
          <t>-</t>
        </is>
      </c>
      <c r="U5" s="5">
        <f>FALSE()</f>
        <v/>
      </c>
      <c r="V5" s="5">
        <f>TRUE()</f>
        <v/>
      </c>
      <c r="W5" s="5" t="inlineStr">
        <is>
          <t>MVDITGNGMAATAPTDERIVDKPLPQPQIRSGNVRAMPAARKLAQEHGIDLSTLTGSGPGGVIVKEDVERAITARAVPV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SADN</t>
        </is>
      </c>
      <c r="X5" s="5" t="n">
        <v>1</v>
      </c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15" customHeight="1" s="12">
      <c r="A6" s="5" t="inlineStr">
        <is>
          <t>plasticome.v1_only</t>
        </is>
      </c>
      <c r="B6" s="5" t="inlineStr">
        <is>
          <t>MPTEVVMPKWGLSMQEGKINLWLKREGEAVQKGEPIAEVETEKITNVVEAPTSGILARQCYPEGSIVAVTKVIAYITAPGEHLADMVDITGNGMAATAPTDERIVDKPLPQPPGRSGTVRAMPAARKLAQEHGIDLSSLTGSGPGGVIVKEDVERAITARAAPVSPLQRVNFYSAGYRLDGLLYTPRHLPAGERRPGVVLLVGYTYLKTMVMPDIAKVLNAAGYVALVFDYRGFGESEGPRGRLIPLEQVADARAALTFLAEQSMVDPDRLALIGISLGGAHAITTAALDQRVRAVVAIEPPGHGARWLRSLRRHWEWSQFLSRLTEDRRQRVLSGVSSTVDPLEIVLPDPESQAFLDQVAAEFPQMKVTLPLESAEALIEYVPEDLVNRIAPRPLLIIHGDADQLVPVAEAQAIAERAGSSAQLEIIPGMSHFNWVMPGSPGFIRVTDSVVKFLR</t>
        </is>
      </c>
      <c r="C6" s="5" t="n">
        <v>35</v>
      </c>
      <c r="D6" s="5" t="inlineStr">
        <is>
          <t>MBO9320024.1</t>
        </is>
      </c>
      <c r="E6" s="5" t="n">
        <v>1</v>
      </c>
      <c r="F6" s="5" t="inlineStr">
        <is>
          <t>Ipet</t>
        </is>
      </c>
      <c r="G6" s="5" t="inlineStr">
        <is>
          <t>Alpha/Beta Hydrolase</t>
        </is>
      </c>
      <c r="H6" s="5" t="inlineStr">
        <is>
          <t>3.40.50.1820</t>
        </is>
      </c>
      <c r="I6" s="5" t="inlineStr">
        <is>
          <t>Metagenome</t>
        </is>
      </c>
      <c r="J6" s="5" t="inlineStr">
        <is>
          <t>Metagenome</t>
        </is>
      </c>
      <c r="K6" s="5" t="inlineStr">
        <is>
          <t>Enzyme 214 like</t>
        </is>
      </c>
      <c r="L6" s="5" t="inlineStr">
        <is>
          <t>PET</t>
        </is>
      </c>
      <c r="M6" s="5" t="inlineStr">
        <is>
          <t>-</t>
        </is>
      </c>
      <c r="N6" s="5" t="inlineStr">
        <is>
          <t>Erickson, 2022</t>
        </is>
      </c>
      <c r="O6" s="5" t="inlineStr">
        <is>
          <t>YNPsite06_CeleraDRAFT_160970</t>
        </is>
      </c>
      <c r="P6" s="5" t="inlineStr">
        <is>
          <t>-</t>
        </is>
      </c>
      <c r="Q6" s="5" t="inlineStr">
        <is>
          <t>-</t>
        </is>
      </c>
      <c r="R6" s="5" t="inlineStr">
        <is>
          <t>-</t>
        </is>
      </c>
      <c r="S6" s="5" t="inlineStr">
        <is>
          <t>alpha/beta fold hydrolase</t>
        </is>
      </c>
      <c r="T6" s="5" t="inlineStr">
        <is>
          <t>Chloroflexus sp.</t>
        </is>
      </c>
      <c r="U6" s="5">
        <f>FALSE()</f>
        <v/>
      </c>
      <c r="V6" s="5">
        <f>TRUE()</f>
        <v/>
      </c>
      <c r="W6" s="5" t="inlineStr">
        <is>
          <t>MPTEVVMPKWGLSMQEGKINLWLKREGEAVQKGEPIAEVETEKITNVVEAPTSGILARQCYPEGSIVAVTKVIAYITAPGEHLADMVDITGNGMAATAPTDERIVDKPLPQPPGRSGTVRAMPAARKLAQEHGIDLSSLTGSGPGGVIVKEDVERAITARAAPVSPLQRVNFYSAGYRLDGLLYTPRHLPAGERRPGVVLLVGYTYLKTMVMPDIAKVLNAAGYVALVFDYRGFGESEGPRGRLIPLEQVADARAALTFLAEQSMVDPDRLALIGISLGGAHAITTAALDQRVRAVVAIEPPGHGARWLRSLRRHWEWSQFLSRLTEDRRQRVLSGVSSTVDPLEIVLPDPESQAFLDQVAAEFPQMKVTLPLESAEALIEYVPEDLVNRIAPRPLLIIHGDADQLVPVAEAQAIAERAGSSAQLEIIPGMSHFNWVMPGSPGFIRVTDSVVKFLR</t>
        </is>
      </c>
      <c r="X6" s="5" t="n">
        <v>1</v>
      </c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5" customHeight="1" s="12">
      <c r="A7" s="5" t="inlineStr">
        <is>
          <t>plasticome.v1_only</t>
        </is>
      </c>
      <c r="B7" s="5" t="inlineStr">
        <is>
          <t>MDGFSRRRML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</t>
        </is>
      </c>
      <c r="C7" s="5" t="n">
        <v>208</v>
      </c>
      <c r="D7" s="5" t="inlineStr">
        <is>
          <t>Q3L8N0.2</t>
        </is>
      </c>
      <c r="E7" s="5" t="n">
        <v>16</v>
      </c>
      <c r="F7" s="5" t="inlineStr">
        <is>
          <t>Lcp</t>
        </is>
      </c>
      <c r="G7" s="5" t="inlineStr">
        <is>
          <t>oxygenase-like</t>
        </is>
      </c>
      <c r="H7" s="5" t="n"/>
      <c r="I7" s="5" t="inlineStr">
        <is>
          <t>Bacteria</t>
        </is>
      </c>
      <c r="J7" s="5" t="inlineStr">
        <is>
          <t>Streptomyces sp. K30</t>
        </is>
      </c>
      <c r="K7" s="5" t="inlineStr">
        <is>
          <t>LCP_STRK3</t>
        </is>
      </c>
      <c r="L7" s="5" t="inlineStr">
        <is>
          <t>NR</t>
        </is>
      </c>
      <c r="M7" s="5" t="inlineStr">
        <is>
          <t>-</t>
        </is>
      </c>
      <c r="N7" s="5" t="inlineStr">
        <is>
          <t>Yikmis, 2012; Rose, 2005; Yikmis, 2008</t>
        </is>
      </c>
      <c r="O7" s="5" t="inlineStr">
        <is>
          <t>Q3L8N0</t>
        </is>
      </c>
      <c r="P7" s="5" t="inlineStr">
        <is>
          <t>Q3L8N0.2</t>
        </is>
      </c>
      <c r="Q7" s="5" t="inlineStr">
        <is>
          <t>501l</t>
        </is>
      </c>
      <c r="R7" s="5" t="inlineStr">
        <is>
          <t>-</t>
        </is>
      </c>
      <c r="S7" s="5" t="inlineStr">
        <is>
          <t>Rubber oxygenase</t>
        </is>
      </c>
      <c r="T7" s="5" t="inlineStr">
        <is>
          <t>-</t>
        </is>
      </c>
      <c r="U7" s="5">
        <f>FALSE()</f>
        <v/>
      </c>
      <c r="V7" s="5">
        <f>TRUE()</f>
        <v/>
      </c>
      <c r="W7" s="5" t="inlineStr">
        <is>
          <t>MDGFSRRRML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</t>
        </is>
      </c>
      <c r="X7" s="5" t="n">
        <v>1</v>
      </c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 ht="15" customHeight="1" s="12">
      <c r="A8" s="5" t="inlineStr">
        <is>
          <t>plasticome.v1_only</t>
        </is>
      </c>
      <c r="B8" s="5" t="inlineStr">
        <is>
          <t>MPSASWEDLAADKRARLEKSIPDEWKFKSVPIEGSVIDLPEKSGILSPSEIKITNSSATELVAQLANGTLKSVDVTLAFCKRAALAHQLVNCAHDFFPELALAQARELDRYFETHKKPVGPLHGLPISLKDQLRVKGTETCMAYISWLGKRDTSDSILTALLRKAGAVFLVKTSVPQTLMVCETVNNIIGRTSNPRNLNLSCGGSSGGEGAMIAMRGGAIGIGTDIGGSIRVPAAFNSLYGIRPSHGRLPYGGMTNSMEGQETIHSVVGPIAHSAQDVRLFLQSVLKEEPWKYDSKVIPLPWREAEENAAQAKIAEKSLNFAFYDFDGVVRPHPPITRGVEIVRSTLEKDGHTVAPWTPYKHAFAVDLANKIYAADGSTDVYKHINASGEPAIPNIKDLMNPNLPKADLNEVWDAQLQKWRYQCEYLDKWREWEERTGKELDAIIAPVAATAAVRHNQFRYYGYATVFNVLDYTSVVVPVTYADKAVDHRLADYQPVSDMDKAVYAEYDPEVYHGAPVAVQIIGRRLSEERTLAIAEYVGKLLGH</t>
        </is>
      </c>
      <c r="C8" s="5" t="n">
        <v>189</v>
      </c>
      <c r="D8" s="5" t="inlineStr">
        <is>
          <t>Q12559.2</t>
        </is>
      </c>
      <c r="E8" s="5" t="n">
        <v>10</v>
      </c>
      <c r="F8" s="5" t="inlineStr">
        <is>
          <t>NylA</t>
        </is>
      </c>
      <c r="G8" s="5" t="inlineStr">
        <is>
          <t>Amidase signature</t>
        </is>
      </c>
      <c r="H8" s="5" t="inlineStr">
        <is>
          <t>3.90.1300.10</t>
        </is>
      </c>
      <c r="I8" s="5" t="inlineStr">
        <is>
          <t>Eukaryotic</t>
        </is>
      </c>
      <c r="J8" s="5" t="inlineStr">
        <is>
          <t>Aspergillus oryzae</t>
        </is>
      </c>
      <c r="K8" s="5" t="inlineStr">
        <is>
          <t>PURase</t>
        </is>
      </c>
      <c r="L8" s="5" t="inlineStr">
        <is>
          <t>PUR</t>
        </is>
      </c>
      <c r="M8" s="5" t="inlineStr">
        <is>
          <t>-</t>
        </is>
      </c>
      <c r="N8" s="5" t="inlineStr">
        <is>
          <t>Masaki, 2020</t>
        </is>
      </c>
      <c r="O8" s="5" t="inlineStr">
        <is>
          <t>Q12559</t>
        </is>
      </c>
      <c r="P8" s="5" t="inlineStr">
        <is>
          <t>Q12559</t>
        </is>
      </c>
      <c r="Q8" s="5" t="inlineStr">
        <is>
          <t>-</t>
        </is>
      </c>
      <c r="R8" s="5" t="inlineStr">
        <is>
          <t>-</t>
        </is>
      </c>
      <c r="S8" s="5" t="inlineStr">
        <is>
          <t>Acetamidase</t>
        </is>
      </c>
      <c r="T8" s="5" t="inlineStr">
        <is>
          <t>-</t>
        </is>
      </c>
      <c r="U8" s="5">
        <f>FALSE()</f>
        <v/>
      </c>
      <c r="V8" s="5">
        <f>TRUE()</f>
        <v/>
      </c>
      <c r="W8" s="5" t="inlineStr">
        <is>
          <t>MPSASWEDLAADKRARLEKSIPDEWKFKSVPIEGSVIDLPEKSGILSPSEIKITNSSATELVAQLANGTLKSVDVTLAFCKRAALAHQLVNCAHDFFPELALAQARELDRYFETHKKPVGPLHGLPISLKDQLRVKGTETCMAYISWLGKRDTSDSILTALLRKAGAVFLVKTSVPQTLMVCETVNNIIGRTSNPRNLNLSCGGSSGGEGAMIAMRGGAIGIGTDIGGSIRVPAAFNSLYGIRPSHGRLPYGGMTNSMEGQETIHSVVGPIAHSAQDVRLFLQSVLKEEPWKYDSKVIPLPWREAEENAAQAKIAEKSLNFAFYDFDGVVRPHPPITRGVEIVRSTLEKDGHTVAPWTPYKHAFAVDLANKIYAADGSTDVYKHINASGEPAIPNIKDLMNPNLPKADLNEVWDAQLQKWRYQCEYLDKWREWEERTGKELDAIIAPVAATAAVRHNQFRYYGYATVFNVLDYTSVVVPVTYADKAVDHRLADYQPVSDMDKAVYAEYDPEVYHGAPVAVQIIGRRLSEERTLAIAEYVGKLLGH</t>
        </is>
      </c>
      <c r="X8" s="5" t="n">
        <v>1</v>
      </c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</row>
    <row r="9" ht="15" customHeight="1" s="12">
      <c r="A9" s="5" t="inlineStr">
        <is>
          <t>plasticome.v1_only</t>
        </is>
      </c>
      <c r="B9" s="5" t="inlineStr">
        <is>
          <t>MTSRPMRSLVIAFLTLVAAAAPALAGAGAWQNNLSLGGFNKVHLYTPDGDSPVGNGKALLIVLHGCTQSIDAYKTANLEVAAEEYGMVVAVPDAMNKAGFSCWSYWQGTKSRSAGDYKNLINLANTLSGDAARGIDPNQVYIAGLSSGASFANTTACLAPDVFAGVGVSAGPSVGTSSSGAIGTCEQADVESRCRDLGGGYQSAFDTQVASIAHGDADTTVDTCYNRQNAEGMAGLYGVSEVAGSTVINADGGSAEEFLWQDGRVSMLWFHGLDHSWSGGQGASGSYVSGASINYARYLGGFFAEHNARIDRNRVPTLAQVDVTASADRIQVSGQASDEDGTVSSVAIVIEGVNGGGATLAAAIDNNGYFQATSDPLADGLYTVAVTAADDDGGESEPAIRTVRVGPEPPASAPVLSDIAVSVDGQCATVSGQVVDENQDLAGVTVTFASGVRAAGIDGVRYSARACDLPGGAQNATVSAEDEGGLSSGDQIDFVIDAGQTATLDQHISAGRLDYTNYADCYLEYGADAFKLTEATVSGQCQWQDDDASCAGPVQACSGAGGGGDPQPQPGDECQTQSTYNYYHKVAGRAYSTGNYYAPDYFAQGSDEPMAGSTWGLTALYSEDGGNVWRLGECP</t>
        </is>
      </c>
      <c r="C9" s="5" t="n">
        <v>126</v>
      </c>
      <c r="D9" s="5" t="inlineStr">
        <is>
          <t>P94146</t>
        </is>
      </c>
      <c r="E9" s="5" t="n">
        <v>30</v>
      </c>
      <c r="F9" s="5" t="inlineStr">
        <is>
          <t>Ipet</t>
        </is>
      </c>
      <c r="G9" s="5" t="inlineStr">
        <is>
          <t>Alpha/Beta Hydrolase</t>
        </is>
      </c>
      <c r="H9" s="5" t="inlineStr">
        <is>
          <t>3.40.50.1820</t>
        </is>
      </c>
      <c r="I9" s="5" t="inlineStr">
        <is>
          <t>Bacteria</t>
        </is>
      </c>
      <c r="J9" s="5" t="inlineStr">
        <is>
          <t>Alcaligenes faecalis</t>
        </is>
      </c>
      <c r="K9" s="5" t="inlineStr">
        <is>
          <t>PhaZAfa</t>
        </is>
      </c>
      <c r="L9" s="5" t="inlineStr">
        <is>
          <t>PHA</t>
        </is>
      </c>
      <c r="M9" s="5" t="inlineStr">
        <is>
          <t>-</t>
        </is>
      </c>
      <c r="N9" s="5" t="inlineStr">
        <is>
          <t>Kasuya, 1999</t>
        </is>
      </c>
      <c r="O9" s="5" t="inlineStr">
        <is>
          <t>P94146</t>
        </is>
      </c>
      <c r="P9" s="5" t="inlineStr">
        <is>
          <t>P94146</t>
        </is>
      </c>
      <c r="Q9" s="5" t="inlineStr">
        <is>
          <t>-</t>
        </is>
      </c>
      <c r="R9" s="5" t="inlineStr">
        <is>
          <t>P94146</t>
        </is>
      </c>
      <c r="S9" s="5" t="inlineStr">
        <is>
          <t>Poly(3-hydroxybutyrate) depolymerase</t>
        </is>
      </c>
      <c r="T9" s="5" t="inlineStr">
        <is>
          <t>Alcaligenes faecalis</t>
        </is>
      </c>
      <c r="U9" s="5">
        <f>FALSE()</f>
        <v/>
      </c>
      <c r="V9" s="5">
        <f>TRUE()</f>
        <v/>
      </c>
      <c r="W9" s="5" t="inlineStr">
        <is>
          <t>MTSRPMRSLVIAFLTLVAAAAPALAGAGAWQNNLSLGGFNKVHLYTPDGDSPVGNGKALLIVLHGCTQSIDAYKTANLEVAAEEYGMVVAVPDAMNKAGFSCWSYWQGTKSRSAGDYKNLINLANTLSGDAARGIDPNQVYIAGLSSGASFANTTACLAPDVFAGVGVSAGPSVGTSSSGAIGTCEQADVESRCRDLGGGYQSAFDTQVASIAHGDADTTVDTCYNRQNAEGMAGLYGVSEVAGSTVINADGGSAEEFLWQDGRVSMLWFHGLDHSWSGGQGASGSYVSGASINYARYLGGFFAEHNARIDRNRVPTLAQVDVTASADRIQVSGQASDEDGTVSSVAIVIEGVNGGGATLAAAIDNNGYFQATSDPLADGLYTVAVTAADDDGGESEPAIRTVRVGPEPPASAPVLSDIAVSVDGQCATVSGQVVDENQDLAGVTVTFASGVRAAGIDGVRYSARACDLPGGAQNATVSAEDEGGLSSGDQIDFVIDAGQTATLDQHISAGRLDYTNYADCYLEYGADAFKLTEATVSGQCQWQDDDASCAGPVQACSGAGGGGDPQPQPGDECQTQSTYNYYHKVAGRAYSTGNYYAPDYFAQGSDEPMAGSTWGLTALYSEDGGNVWRLGECP</t>
        </is>
      </c>
      <c r="X9" s="5" t="n">
        <v>1</v>
      </c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15" customHeight="1" s="12">
      <c r="A10" s="5" t="inlineStr">
        <is>
          <t>plasticome.v1_only</t>
        </is>
      </c>
      <c r="B10" s="5" t="inlineStr">
        <is>
          <t>MTPSAEPRLAAPSAFAPDVAGNDDLPLTPQASPGRGVVPFDLPGVYVGTAEYAEGPTGCTVVHVPAGARTAVDARGGAVGLSGGYDFNHAICLAGGSVYGLAAAAGVSDELLARRRNQVRWDDLQIVSGAVIYDFSARDNAVSPDAALGRAALRNAKEGEFPVGRCGAGRSATAGKVEFGRAEFTGQGAAFRAYGDVKVLVATVVNSVGVVVDRDGAIVRGNYHSAEGVRRHPAEDYAAMIGRPDAPAPVPGNTTLTVLVTNVRLPERELNQLGRQVHGSMQRGIQPFHTENDGDVLFTMTTDEVDLTGVRSTGLATLAAEVAWDAILDAAR</t>
        </is>
      </c>
      <c r="C10" s="5" t="n">
        <v>176</v>
      </c>
      <c r="D10" s="5" t="inlineStr">
        <is>
          <t>A0A840P940</t>
        </is>
      </c>
      <c r="E10" s="5" t="n">
        <v>9</v>
      </c>
      <c r="F10" s="5" t="inlineStr">
        <is>
          <t>NylC</t>
        </is>
      </c>
      <c r="G10" s="5" t="inlineStr">
        <is>
          <t>L-amino peptidase D-ALA esterase/amidase</t>
        </is>
      </c>
      <c r="H10" s="5" t="inlineStr">
        <is>
          <t>3.60.70.12</t>
        </is>
      </c>
      <c r="I10" s="5" t="inlineStr">
        <is>
          <t>Bacteria</t>
        </is>
      </c>
      <c r="J10" s="5" t="inlineStr">
        <is>
          <t>Thermocatellispora tengchongensis</t>
        </is>
      </c>
      <c r="K10" s="5" t="inlineStr">
        <is>
          <t>Tt-NylC</t>
        </is>
      </c>
      <c r="L10" s="5" t="inlineStr">
        <is>
          <t>PA</t>
        </is>
      </c>
      <c r="M10" s="5" t="inlineStr">
        <is>
          <t>-</t>
        </is>
      </c>
      <c r="N10" s="5" t="inlineStr">
        <is>
          <t>Bell, 2024</t>
        </is>
      </c>
      <c r="O10" s="5" t="inlineStr">
        <is>
          <t>A0A840P940</t>
        </is>
      </c>
      <c r="P10" s="5" t="inlineStr">
        <is>
          <t>A0A840P940</t>
        </is>
      </c>
      <c r="Q10" s="5" t="inlineStr">
        <is>
          <t>-</t>
        </is>
      </c>
      <c r="R10" s="5" t="inlineStr">
        <is>
          <t>A0A840P940</t>
        </is>
      </c>
      <c r="S10" s="5" t="inlineStr">
        <is>
          <t>L-aminopeptidase/D-esterase-like protein</t>
        </is>
      </c>
      <c r="T10" s="5" t="inlineStr">
        <is>
          <t>Thermocatellispora tengchongensis</t>
        </is>
      </c>
      <c r="U10" s="5">
        <f>FALSE()</f>
        <v/>
      </c>
      <c r="V10" s="5">
        <f>TRUE()</f>
        <v/>
      </c>
      <c r="W10" s="5" t="inlineStr">
        <is>
          <t>MTPSAEPRLAAPSAFAPDVAGNDDLPLTPQASPGRGVVPFDLPGVYVGTAEYAEGPTGCTVVHVPAGARTAVDARGGAVGLSGGYDFNHAICLAGGSVYGLAAAAGVSDELLARRRNQVRWDDLQIVSGAVIYDFSARDNAVSPDAALGRAALRNAKEGEFPVGRCGAGRSATAGKVEFGRAEFTGQGAAFRAYGDVKVLVATVVNSVGVVVDRDGAIVRGNYHSAEGVRRHPAEDYAAMIGRPDAPAPVPGNTTLTVLVTNVRLPERELNQLGRQVHGSMQRGIQPFHTENDGDVLFTMTTDEVDLTGVRSTGLATLAAEVAWDAILDAAR</t>
        </is>
      </c>
      <c r="X10" s="5" t="n">
        <v>1</v>
      </c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 ht="15" customHeight="1" s="12">
      <c r="A11" s="5" t="inlineStr">
        <is>
          <t>plasticome.v1_only</t>
        </is>
      </c>
      <c r="B11" s="5" t="inlineStr">
        <is>
          <t>MELALALSLIASVAA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  <c r="C11" s="5" t="n">
        <v>104</v>
      </c>
      <c r="D11" s="5" t="inlineStr">
        <is>
          <t>P20261.3</t>
        </is>
      </c>
      <c r="E11" s="5" t="n">
        <v>23</v>
      </c>
      <c r="F11" s="5" t="inlineStr">
        <is>
          <t>Ipet</t>
        </is>
      </c>
      <c r="G11" s="5" t="inlineStr">
        <is>
          <t>Alpha/Beta Hydrolase</t>
        </is>
      </c>
      <c r="H11" s="5" t="inlineStr">
        <is>
          <t>3.40.50.1820</t>
        </is>
      </c>
      <c r="I11" s="5" t="inlineStr">
        <is>
          <t>Eukaryotic</t>
        </is>
      </c>
      <c r="J11" s="5" t="inlineStr">
        <is>
          <t>Diutina (Candida) rugosa</t>
        </is>
      </c>
      <c r="K11" s="5" t="inlineStr">
        <is>
          <t>Lip1; Lip5</t>
        </is>
      </c>
      <c r="L11" s="5" t="inlineStr">
        <is>
          <t>PUR</t>
        </is>
      </c>
      <c r="M11" s="5" t="inlineStr">
        <is>
          <t>-</t>
        </is>
      </c>
      <c r="N11" s="5" t="inlineStr">
        <is>
          <t>Gautam, 2007</t>
        </is>
      </c>
      <c r="O11" s="5" t="inlineStr">
        <is>
          <t>P20261</t>
        </is>
      </c>
      <c r="P11" s="5" t="inlineStr">
        <is>
          <t>P20261.3</t>
        </is>
      </c>
      <c r="Q11" s="5" t="inlineStr">
        <is>
          <t>-</t>
        </is>
      </c>
      <c r="R11" s="5" t="inlineStr">
        <is>
          <t>-</t>
        </is>
      </c>
      <c r="S11" s="5" t="inlineStr">
        <is>
          <t>Lipase 1</t>
        </is>
      </c>
      <c r="T11" s="5" t="inlineStr">
        <is>
          <t>-</t>
        </is>
      </c>
      <c r="U11" s="5">
        <f>FALSE()</f>
        <v/>
      </c>
      <c r="V11" s="5">
        <f>TRUE()</f>
        <v/>
      </c>
      <c r="W11" s="5" t="inlineStr">
        <is>
          <t>MELALALSLIASVAA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  <c r="X11" s="5" t="n">
        <v>1</v>
      </c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15" customHeight="1" s="12">
      <c r="A12" s="5" t="inlineStr">
        <is>
          <t>plasticome.v1_only</t>
        </is>
      </c>
      <c r="B12" s="5" t="inlineStr">
        <is>
          <t>MEMVKGVHLAIAALLFLCVLPGNADASEKQFDLVLVHGLTNKHRWSDSFLRALVNEWGSGNVYVIYTNQSMQVSKRTIDGKTITFIGKNDFSAGDDSVKDQAEIMAEKIEVLKRDHGLSPQFYIIAHSMGGLVSRQYIYDHPNTVAGLVTLGTPHHGSPLASDFDWLGFFIGAEAAMDNLRPEWVEDFNRRFPVENAPLYNGGKIYTIRGDSDGKIWEWGAMGELYVGWHILHKKHGTDSDGLVPHASAVIEGAVHLADFPNYHHLDLVTREEVAKKAAEVLR</t>
        </is>
      </c>
      <c r="C12" s="5" t="n">
        <v>167</v>
      </c>
      <c r="D12" s="5" t="inlineStr">
        <is>
          <t>BAF57213.1</t>
        </is>
      </c>
      <c r="E12" s="5" t="n">
        <v>5</v>
      </c>
      <c r="F12" s="5" t="inlineStr">
        <is>
          <t>PlaM</t>
        </is>
      </c>
      <c r="G12" s="5" t="inlineStr">
        <is>
          <t>Alpha/Beta Hydrolase</t>
        </is>
      </c>
      <c r="H12" s="5" t="inlineStr">
        <is>
          <t>3.40.50.1820</t>
        </is>
      </c>
      <c r="I12" s="5" t="inlineStr">
        <is>
          <t>Metagenome</t>
        </is>
      </c>
      <c r="J12" s="5" t="inlineStr">
        <is>
          <t>Metagenome</t>
        </is>
      </c>
      <c r="K12" s="5" t="inlineStr">
        <is>
          <t>PlaM8 depolymerase</t>
        </is>
      </c>
      <c r="L12" s="5" t="inlineStr">
        <is>
          <t>PLA</t>
        </is>
      </c>
      <c r="M12" s="5" t="inlineStr">
        <is>
          <t>EC 3.1.1.1</t>
        </is>
      </c>
      <c r="N12" s="5" t="inlineStr">
        <is>
          <t>Mayumi, 2008</t>
        </is>
      </c>
      <c r="O12" s="5" t="inlineStr">
        <is>
          <t>A4UZ13</t>
        </is>
      </c>
      <c r="P12" s="5" t="inlineStr">
        <is>
          <t>BAF57213.1</t>
        </is>
      </c>
      <c r="Q12" s="5" t="inlineStr">
        <is>
          <t>-</t>
        </is>
      </c>
      <c r="R12" s="5" t="inlineStr">
        <is>
          <t>A4UZ13</t>
        </is>
      </c>
      <c r="S12" s="5" t="inlineStr">
        <is>
          <t>PLA depolymerase</t>
        </is>
      </c>
      <c r="T12" s="5" t="inlineStr">
        <is>
          <t>uncultured bacterium</t>
        </is>
      </c>
      <c r="U12" s="5">
        <f>FALSE()</f>
        <v/>
      </c>
      <c r="V12" s="5">
        <f>TRUE()</f>
        <v/>
      </c>
      <c r="W12" s="5" t="inlineStr">
        <is>
          <t>MEMVKGVHLAIAALLFLCVLPGNADASEKQFDLVLVHGLTNKHRWSDSFLRALVNEWGSGNVYVIYTNQSMQVSKRTIDGKTITFIGKNDFSAGDDSVKDQAEIMAEKIEVLKRDHGLSPQFYIIAHSMGGLVSRQYIYDHPNTVAGLVTLGTPHHGSPLASDFDWLGFFIGAEAAMDNLRPEWVEDFNRRFPVENAPLYNGGKIYTIRGDSDGKIWEWGAMGELYVGWHILHKKHGTDSDGLVPHASAVIEGAVHLADFPNYHHLDLVTREEVAKKAAEVLR</t>
        </is>
      </c>
      <c r="X12" s="5" t="n">
        <v>1</v>
      </c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15" customHeight="1" s="12">
      <c r="A13" s="5" t="inlineStr">
        <is>
          <t>plasticome.v1_only</t>
        </is>
      </c>
      <c r="B13" s="5" t="inlineStr">
        <is>
          <t>MTISNAGISAGHMQVQTVDLDGQQLRVGIRPGSDAGPPLLIFNGIGANLELIEPFVDALVGVEVIIFDVPGAGGSPAPLMPYRFSNLCVLADRLLSHLGYAGQVDTLGVSWGGALAQEFARLYPQRCRRLVLAATSPGVLMVPGRLSVLSKMIGVRRYSDPEYLRRVGADLYGGAFRDDPALLDEHGRHMQPPRGRGYLYQLLAAWGWSSLPWLGAVRQPTLVMHGADDPIVPLVNARILAARIPNAELHVLDDGHLFLVTGAENTARVVGAFLRR</t>
        </is>
      </c>
      <c r="C13" s="5" t="n">
        <v>98</v>
      </c>
      <c r="D13" s="5" t="inlineStr">
        <is>
          <t>WP_013956815.1</t>
        </is>
      </c>
      <c r="E13" s="5" t="n">
        <v>22</v>
      </c>
      <c r="F13" s="5" t="inlineStr">
        <is>
          <t>Ipet</t>
        </is>
      </c>
      <c r="G13" s="5" t="inlineStr">
        <is>
          <t>Alpha/Beta Hydrolase</t>
        </is>
      </c>
      <c r="H13" s="5" t="inlineStr">
        <is>
          <t>3.40.50.1820</t>
        </is>
      </c>
      <c r="I13" s="5" t="inlineStr">
        <is>
          <t>Bacteria</t>
        </is>
      </c>
      <c r="J13" s="5" t="inlineStr">
        <is>
          <t>Cuprivadus necator ATC17699</t>
        </is>
      </c>
      <c r="K13" s="5" t="inlineStr">
        <is>
          <t>phaZ-like</t>
        </is>
      </c>
      <c r="L13" s="5" t="inlineStr">
        <is>
          <t>PHA</t>
        </is>
      </c>
      <c r="M13" s="5" t="inlineStr">
        <is>
          <t>-</t>
        </is>
      </c>
      <c r="N13" s="5" t="inlineStr">
        <is>
          <t>Brigham,2012</t>
        </is>
      </c>
      <c r="O13" s="5" t="inlineStr">
        <is>
          <t>Chen, 2024</t>
        </is>
      </c>
      <c r="P13" s="5" t="inlineStr">
        <is>
          <t>-</t>
        </is>
      </c>
      <c r="Q13" s="5" t="inlineStr">
        <is>
          <t>-</t>
        </is>
      </c>
      <c r="R13" s="5" t="inlineStr">
        <is>
          <t>G0EX11</t>
        </is>
      </c>
      <c r="S13" s="5" t="inlineStr">
        <is>
          <t>poly(3-hydroxyalkanoate) depolymerase</t>
        </is>
      </c>
      <c r="T13" s="5" t="inlineStr">
        <is>
          <t>Cupriavidus necator</t>
        </is>
      </c>
      <c r="U13" s="5">
        <f>FALSE()</f>
        <v/>
      </c>
      <c r="V13" s="5">
        <f>TRUE()</f>
        <v/>
      </c>
      <c r="W13" s="5" t="inlineStr">
        <is>
          <t>MTISNAGISAGHMQVQTVDLDGQQLRVGIRPGSDAGPPLLIFNGIGANLELIEPFVDALVGVEVIIFDVPGAGGSPAPLMPYRFSNLCVLADRLLSHLGYAGQVDTLGVSWGGALAQEFARLYPQRCRRLVLAATSPGVLMVPGRLSVLSKMIGVRRYSDPEYLRRVGADLYGGAFRDDPALLDEHGRHMQPPRGRGYLYQLLAAWGWSSLPWLGAVRQPTLVMHGADDPIVPLVNARILAARIPNAELHVLDDGHLFLVTGAENTARVVGAFLRR</t>
        </is>
      </c>
      <c r="X13" s="5" t="n">
        <v>1</v>
      </c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15" customHeight="1" s="12">
      <c r="A14" s="5" t="inlineStr">
        <is>
          <t>plasticome.v1_only</t>
        </is>
      </c>
      <c r="B14" s="5" t="inlineStr">
        <is>
          <t>MTELHFRSASDLGRMIRRGEISSAELTGHFIGRIEKLDGKTNAVVARDFDRAMSLAKKADEAQARGQSLGALHGLPFTIKDAYEVEGIVSTGGAPVWKDHVPTRSATAIERLQRAGAIVMGKTNVPYLSGDLQTYNDVYGTTNNPWALDCGPGGSSGGSAASLAAGFTAAEYGSDIGGSIRTPAHLCGVFGHKPSFGIVPKRGHLSPPPGSLSEGDLSVAGPLARSAEDLKHLLSLTAGPDWADAAGWKLDLPPARARTPRELRAAVWIDDEFCDIDRESADLLRNAAKALQDAGANVDWNARPDFTLAEITECYLILLHSQIGAGMPQSIRDHWAEMKKGFAPDDKSHAALQAIGGTLSLAERAVWKEVQAQLRWKWHNFFKSYDVVLSPVLMRPAFEHNHQSNWHKRELEVNGVMRPYMDVLIWAGPAVVSYLPATAAPVGVTSEGKPVGIQIIGPHLEDYTTIEVAGMFEEILGGFTPPNGW</t>
        </is>
      </c>
      <c r="C14" s="5" t="n">
        <v>195</v>
      </c>
      <c r="D14" s="5" t="inlineStr">
        <is>
          <t>WP_293218050.1</t>
        </is>
      </c>
      <c r="E14" s="5" t="n">
        <v>10</v>
      </c>
      <c r="F14" s="5" t="inlineStr">
        <is>
          <t>NylA</t>
        </is>
      </c>
      <c r="G14" s="5" t="inlineStr">
        <is>
          <t>Amidase signature</t>
        </is>
      </c>
      <c r="H14" s="5" t="inlineStr">
        <is>
          <t>3.90.1300.10</t>
        </is>
      </c>
      <c r="I14" s="5" t="inlineStr">
        <is>
          <t>Bacteria</t>
        </is>
      </c>
      <c r="J14" s="5" t="inlineStr">
        <is>
          <t>Parvibaculum sp.</t>
        </is>
      </c>
      <c r="K14" s="5" t="inlineStr">
        <is>
          <t>GatA-like</t>
        </is>
      </c>
      <c r="L14" s="5" t="inlineStr">
        <is>
          <t>PA</t>
        </is>
      </c>
      <c r="M14" s="5" t="inlineStr">
        <is>
          <t>-</t>
        </is>
      </c>
      <c r="N14" s="5" t="inlineStr">
        <is>
          <t>Bell, 2024; Bittner, 2021</t>
        </is>
      </c>
      <c r="O14" s="5" t="inlineStr">
        <is>
          <t>-</t>
        </is>
      </c>
      <c r="P14" s="5" t="inlineStr">
        <is>
          <t>-</t>
        </is>
      </c>
      <c r="Q14" s="5" t="inlineStr">
        <is>
          <t>-</t>
        </is>
      </c>
      <c r="R14" s="5" t="inlineStr">
        <is>
          <t>-</t>
        </is>
      </c>
      <c r="S14" s="5" t="inlineStr">
        <is>
          <t>amidase</t>
        </is>
      </c>
      <c r="T14" s="5" t="inlineStr">
        <is>
          <t>Parvibaculum sp.</t>
        </is>
      </c>
      <c r="U14" s="5">
        <f>FALSE()</f>
        <v/>
      </c>
      <c r="V14" s="5">
        <f>TRUE()</f>
        <v/>
      </c>
      <c r="W14" s="5" t="inlineStr">
        <is>
          <t>MTELHFRSASDLGRMIRRGEISSAELTGHFIGRIEKLDGKTNAVVARDFDRAMSLAKKADEAQARGQSLGALHGLPFTIKDAYEVEGIVSTGGAPVWKDHVPTRSATAIERLQRAGAIVMGKTNVPYLSGDLQTYNDVYGTTNNPWALDCGPGGSSGGSAASLAAGFTAAEYGSDIGGSIRTPAHLCGVFGHKPSFGIVPKRGHLSPPPGSLSEGDLSVAGPLARSAEDLKHLLSLTAGPDWADAAGWKLDLPPARARTPRELRAAVWIDDEFCDIDRESADLLRNAAKALQDAGANVDWNARPDFTLAEITECYLILLHSQIGAGMPQSIRDHWAEMKKGFAPDDKSHAALQAIGGTLSLAERAVWKEVQAQLRWKWHNFFKSYDVVLSPVLMRPAFEHNHQSNWHKRELEVNGVMRPYMDVLIWAGPAVVSYLPATAAPVGVTSEGKPVGIQIIGPHLEDYTTIEVAGMFEEILGGFTPPNGW</t>
        </is>
      </c>
      <c r="X14" s="5" t="n">
        <v>1</v>
      </c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15" customHeight="1" s="12">
      <c r="A15" s="5" t="inlineStr">
        <is>
          <t>plasticome.v1_only</t>
        </is>
      </c>
      <c r="B15" s="5" t="inlineStr">
        <is>
          <t>MANPYERGPDPTESSIEAVRGPFAVAQTTVSRLQADGFGGGTIYYPTDTSQGTFGAVAISPGFTAGQESIAWLGPRIASQGFVVITIDTITRLDQPDSRGRQLQAALDHLRTNSVVRNRIDPNRMAVMGHSMGGGGALSAAANNTSLEAAIPLQGWHTRKNWSSVRTPTLVVGAQLDTIAPVSSHSEAFYNSLPSDLDKAYMELRGASHLVSNTPDTTTAKYSIAWLKRFVDDDLRYEQFLCPAPDDFAISEYRSTCPF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  <c r="C15" s="5" t="n">
        <v>2</v>
      </c>
      <c r="D15" s="5" t="inlineStr">
        <is>
          <t>7NEI</t>
        </is>
      </c>
      <c r="E15" s="5" t="n">
        <v>1</v>
      </c>
      <c r="F15" s="5" t="inlineStr">
        <is>
          <t>Ipet</t>
        </is>
      </c>
      <c r="G15" s="5" t="inlineStr">
        <is>
          <t>Alpha/Beta Hydrolase</t>
        </is>
      </c>
      <c r="H15" s="5" t="inlineStr">
        <is>
          <t>3.40.50.1820</t>
        </is>
      </c>
      <c r="I15" s="5" t="inlineStr">
        <is>
          <t>Bacteria</t>
        </is>
      </c>
      <c r="J15" s="5" t="inlineStr">
        <is>
          <t>Thermoanaerobacter sp.</t>
        </is>
      </c>
      <c r="K15" s="5" t="inlineStr">
        <is>
          <t>PHL-7; PES-H1; PES-H2</t>
        </is>
      </c>
      <c r="L15" s="5" t="inlineStr">
        <is>
          <t>PET</t>
        </is>
      </c>
      <c r="M15" s="5" t="inlineStr">
        <is>
          <t>EC 3.1.1.74</t>
        </is>
      </c>
      <c r="N15" s="5" t="inlineStr">
        <is>
          <t>Sonnendecker, 2022; Pfaff, 2022</t>
        </is>
      </c>
      <c r="O15" s="5" t="inlineStr">
        <is>
          <t>7NEI_A/B; 7CUV_A; MBO2503201.1; SAY37592.1</t>
        </is>
      </c>
      <c r="P15" s="5" t="inlineStr">
        <is>
          <t>7NEI</t>
        </is>
      </c>
      <c r="Q15" s="5" t="inlineStr">
        <is>
          <t>7NEI</t>
        </is>
      </c>
      <c r="R15" s="5" t="inlineStr">
        <is>
          <t>-</t>
        </is>
      </c>
      <c r="S15" s="5" t="inlineStr">
        <is>
          <t>A Polyester Hydrolase Leipzig 7</t>
        </is>
      </c>
      <c r="T15" s="5" t="inlineStr">
        <is>
          <t>-</t>
        </is>
      </c>
      <c r="U15" s="5">
        <f>FALSE()</f>
        <v/>
      </c>
      <c r="V15" s="5">
        <f>TRUE()</f>
        <v/>
      </c>
      <c r="W15" s="5" t="inlineStr">
        <is>
          <t>MANPYERGPDPTESSIEAVRGPFAVAQTTVSRLQADGFGGGTIYYPTDTSQGTFGAVAISPGFTAGQESIAWLGPRIASQGFVVITIDTITRLDQPDSRGRQLQAALDHLRTNSVVRNRIDPNRMAVMGHSMGGGGALSAAANNTSLEAAIPLQGWHTRKNWSSVRTPTLVVGAQLDTIAPVSSHSEAFYNSLPSDLDKAYMELRGASHLVSNTPDTTTAKYSIAWLKRFVDDDLRYEQFLCPAPDDFAISEYRSTCPF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  <c r="X15" s="5" t="n">
        <v>1</v>
      </c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15" customHeight="1" s="12">
      <c r="A16" s="5" t="inlineStr">
        <is>
          <t>plasticome.v1_only</t>
        </is>
      </c>
      <c r="B16" s="5" t="inlineStr">
        <is>
          <t>MNTSGLGWMSATEMAAQVASKKLSPNEIAEEMIRRVDEVNPSVNAIVHFDADQVRRDAGELTRAQDSGEPLGPLHGVPFTIKDLTDVRGLPTTFGLKPMRDNIAERDAVIVTRLRQAGGLYLGKTNTPESGYYGGTDNHLFGPTHNPWKPGHTAGGSSGGAAAAVAAGLGPLAEGSDGAGSVRIPSALCGVVGLKPTTGVIPQTILPGRYNNWAYHGPITRTVADNALMLDVLAGPDHSDPLSIERVESSYVEAARGGIDGLRVAWSPNLGLGHVEPDVAAVCAEAVACFEDLGAKVVEATPEWGDPSEAMWHGIWVPGFAGEHDMLDWDSLHGQVDDNLIELIHEGRRLTGVDYGRADAFRGRMWDTWTEFMNDYDVLISPTLASATFPLTQFAPDWLQGKSLREQLLDWLLTYPYNMLNNPAITVPAGFTADGRPVGLQIAARHRQDALALRVAANLEQARPWADRRPVA</t>
        </is>
      </c>
      <c r="C16" s="5" t="n">
        <v>196</v>
      </c>
      <c r="D16" s="5" t="inlineStr">
        <is>
          <t>WP_348608127.1</t>
        </is>
      </c>
      <c r="E16" s="5" t="n">
        <v>10</v>
      </c>
      <c r="F16" s="5" t="inlineStr">
        <is>
          <t>NylA</t>
        </is>
      </c>
      <c r="G16" s="5" t="inlineStr">
        <is>
          <t>Amidase signature</t>
        </is>
      </c>
      <c r="H16" s="5" t="inlineStr">
        <is>
          <t>3.90.1300.10</t>
        </is>
      </c>
      <c r="I16" s="5" t="inlineStr">
        <is>
          <t>Bacteria</t>
        </is>
      </c>
      <c r="J16" s="5" t="inlineStr">
        <is>
          <t>Rhodococcus equi TB-60</t>
        </is>
      </c>
      <c r="K16" s="5" t="inlineStr">
        <is>
          <t>ReU-like</t>
        </is>
      </c>
      <c r="L16" s="5" t="inlineStr">
        <is>
          <t>PA</t>
        </is>
      </c>
      <c r="M16" s="5" t="inlineStr">
        <is>
          <t>-</t>
        </is>
      </c>
      <c r="N16" s="5" t="inlineStr">
        <is>
          <t>Bell, 2024; Kanbe, 2007</t>
        </is>
      </c>
      <c r="O16" s="5" t="inlineStr">
        <is>
          <t>-</t>
        </is>
      </c>
      <c r="P16" s="5" t="inlineStr">
        <is>
          <t>-</t>
        </is>
      </c>
      <c r="Q16" s="5" t="inlineStr">
        <is>
          <t>-</t>
        </is>
      </c>
      <c r="R16" s="5" t="inlineStr">
        <is>
          <t>-</t>
        </is>
      </c>
      <c r="S16" s="5" t="inlineStr">
        <is>
          <t>amidase family protein</t>
        </is>
      </c>
      <c r="T16" s="5" t="inlineStr">
        <is>
          <t>Prescottella soli</t>
        </is>
      </c>
      <c r="U16" s="5">
        <f>FALSE()</f>
        <v/>
      </c>
      <c r="V16" s="5">
        <f>TRUE()</f>
        <v/>
      </c>
      <c r="W16" s="5" t="inlineStr">
        <is>
          <t>MNTSGLGWMSATEMAAQVASKKLSPNEIAEEMIRRVDEVNPSVNAIVHFDADQVRRDAGELTRAQDSGEPLGPLHGVPFTIKDLTDVRGLPTTFGLKPMRDNIAERDAVIVTRLRQAGGLYLGKTNTPESGYYGGTDNHLFGPTHNPWKPGHTAGGSSGGAAAAVAAGLGPLAEGSDGAGSVRIPSALCGVVGLKPTTGVIPQTILPGRYNNWAYHGPITRTVADNALMLDVLAGPDHSDPLSIERVESSYVEAARGGIDGLRVAWSPNLGLGHVEPDVAAVCAEAVACFEDLGAKVVEATPEWGDPSEAMWHGIWVPGFAGEHDMLDWDSLHGQVDDNLIELIHEGRRLTGVDYGRADAFRGRMWDTWTEFMNDYDVLISPTLASATFPLTQFAPDWLQGKSLREQLLDWLLTYPYNMLNNPAITVPAGFTADGRPVGLQIAARHRQDALALRVAANLEQARPWADRRPVA</t>
        </is>
      </c>
      <c r="X16" s="5" t="n">
        <v>1</v>
      </c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15" customHeight="1" s="12">
      <c r="A17" s="5" t="inlineStr">
        <is>
          <t>plasticome.v1_only</t>
        </is>
      </c>
      <c r="B17" s="5" t="inlineStr">
        <is>
          <t>MSVTSRALALGTALLLAHTAHAAPAPNVPGGERVCAYTSGLSSLSYASARVTYPCTLSKAAYPATTLTGGFSNTKEQMTWLSEHLSSHGYIVITITPRNIFGAPTGWESAHKAGIAKLRSERSRRASPLYNKLDPSKFALTGFSMGGGGALLAAADLGSQVKVAVPMAPFLGSNNPNYSAITAKVLIQAGANDTVANPSTVASYYQSLPTGISRALTTFRSASHLDWINTGNTNRQARLKTLVTSWLKVYLDGNSDYATYLDGAEHSRHLAEDWFTRFEYVR</t>
        </is>
      </c>
      <c r="C17" s="5" t="n">
        <v>63</v>
      </c>
      <c r="D17" s="5" t="inlineStr">
        <is>
          <t>WNY00484.1</t>
        </is>
      </c>
      <c r="E17" s="5" t="n">
        <v>1</v>
      </c>
      <c r="F17" s="5" t="inlineStr">
        <is>
          <t>Ipet</t>
        </is>
      </c>
      <c r="G17" s="5" t="inlineStr">
        <is>
          <t>Alpha/Beta Hydrolase</t>
        </is>
      </c>
      <c r="H17" s="5" t="inlineStr">
        <is>
          <t>3.40.50.1820</t>
        </is>
      </c>
      <c r="I17" s="5" t="inlineStr">
        <is>
          <t>Bacteria</t>
        </is>
      </c>
      <c r="J17" s="5" t="inlineStr">
        <is>
          <t>Pseudomonas sp.</t>
        </is>
      </c>
      <c r="K17" s="5" t="inlineStr">
        <is>
          <t>GlacPETase</t>
        </is>
      </c>
      <c r="L17" s="5" t="inlineStr">
        <is>
          <t>PET</t>
        </is>
      </c>
      <c r="M17" s="5" t="inlineStr">
        <is>
          <t>-</t>
        </is>
      </c>
      <c r="N17" s="5" t="inlineStr">
        <is>
          <t>Qi, 2023</t>
        </is>
      </c>
      <c r="O17" s="5" t="inlineStr">
        <is>
          <t>-</t>
        </is>
      </c>
      <c r="P17" s="5" t="inlineStr">
        <is>
          <t>-</t>
        </is>
      </c>
      <c r="Q17" s="5" t="inlineStr">
        <is>
          <t>-</t>
        </is>
      </c>
      <c r="R17" s="5" t="inlineStr">
        <is>
          <t>-</t>
        </is>
      </c>
      <c r="S17" s="5" t="inlineStr">
        <is>
          <t>GlacPETase</t>
        </is>
      </c>
      <c r="T17" s="5" t="inlineStr">
        <is>
          <t>Pseudomonas sp.</t>
        </is>
      </c>
      <c r="U17" s="5">
        <f>FALSE()</f>
        <v/>
      </c>
      <c r="V17" s="5">
        <f>TRUE()</f>
        <v/>
      </c>
      <c r="W17" s="5" t="inlineStr">
        <is>
          <t>MSVTSRALALGTALLLAHTAHAAPAPNVPGGERVCAYTSGLSSLSYASARVTYPCTLSKAAYPATTLTGGFSNTKEQMTWLSEHLSSHGYIVITITPRNIFGAPTGWESAHKAGIAKLRSERSRRASPLYNKLDPSKFALTGFSMGGGGALLAAADLGSQVKVAVPMAPFLGSNNPNYSAITAKVLIQAGANDTVANPSTVASYYQSLPTGISRALTTFRSASHLDWINTGNTNRQARLKTLVTSWLKVYLDGNSDYATYLDGAEHSRHLAEDWFTRFEYVR</t>
        </is>
      </c>
      <c r="X17" s="5" t="n">
        <v>1</v>
      </c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15" customHeight="1" s="12">
      <c r="A18" s="5" t="inlineStr">
        <is>
          <t>plasticome.v1_only</t>
        </is>
      </c>
      <c r="B18" s="5" t="inlineStr">
        <is>
          <t>MNARFSISKIFLLAASLLASSYAFSASPSAPCSNCTRGPNPTVASLKSSSGPFSTAKFSVSGYLKGFGNSTVYYPTNTTGKMGAIAVIPGYLSYESSIEWWGPRLASHGFVVMTMNTNTIYDQPDSRATQLSKALDYLISQSGSSSSPIYNKVDSTRLGAIGWSMGGGGSLKLATQRSINAIIPQAPYYAGLSNFNQINTPALILACESDVVAPVATHASPFYNKIPNATPKAFLEINNGSHFCANSGYPDQSLLGLYGISWMKRFIDFDSRYSQFLCGPNHEADYSISEYRENCNY</t>
        </is>
      </c>
      <c r="C18" s="5" t="n">
        <v>71</v>
      </c>
      <c r="D18" s="5" t="inlineStr">
        <is>
          <t>WP_068824797.1</t>
        </is>
      </c>
      <c r="E18" s="5" t="n">
        <v>1</v>
      </c>
      <c r="F18" s="5" t="inlineStr">
        <is>
          <t>Ipet</t>
        </is>
      </c>
      <c r="G18" s="5" t="inlineStr">
        <is>
          <t>Alpha/Beta Hydrolase</t>
        </is>
      </c>
      <c r="H18" s="5" t="inlineStr">
        <is>
          <t>3.40.50.1820</t>
        </is>
      </c>
      <c r="I18" s="5" t="inlineStr">
        <is>
          <t>Bacteria</t>
        </is>
      </c>
      <c r="J18" s="5" t="inlineStr">
        <is>
          <t>Pseudomonas sp. JM16B3</t>
        </is>
      </c>
      <c r="K18" s="5" t="inlineStr">
        <is>
          <t>jmPE14</t>
        </is>
      </c>
      <c r="L18" s="5" t="inlineStr">
        <is>
          <t>PBAT</t>
        </is>
      </c>
      <c r="M18" s="5" t="inlineStr">
        <is>
          <t>-</t>
        </is>
      </c>
      <c r="N18" s="5" t="inlineStr">
        <is>
          <t>Zhou, 2024</t>
        </is>
      </c>
      <c r="O18" s="5" t="inlineStr">
        <is>
          <t>WP_068824797.1</t>
        </is>
      </c>
      <c r="P18" s="5" t="inlineStr">
        <is>
          <t>WP_068824797.1</t>
        </is>
      </c>
      <c r="Q18" s="5" t="inlineStr">
        <is>
          <t>-</t>
        </is>
      </c>
      <c r="R18" s="5" t="inlineStr">
        <is>
          <t>-</t>
        </is>
      </c>
      <c r="S18" s="5" t="inlineStr">
        <is>
          <t>dienelactone hydrolase family protein</t>
        </is>
      </c>
      <c r="T18" s="5" t="inlineStr">
        <is>
          <t>Pseudomonas sp. BMS12</t>
        </is>
      </c>
      <c r="U18" s="5">
        <f>FALSE()</f>
        <v/>
      </c>
      <c r="V18" s="5">
        <f>TRUE()</f>
        <v/>
      </c>
      <c r="W18" s="5" t="inlineStr">
        <is>
          <t>MNARFSISKIFLLAASLLASSYAFSASPSAPCSNCTRGPNPTVASLKSSSGPFSTAKFSVSGYLKGFGNSTVYYPTNTTGKMGAIAVIPGYLSYESSIEWWGPRLASHGFVVMTMNTNTIYDQPDSRATQLSKALDYLISQSGSSSSPIYNKVDSTRLGAIGWSMGGGGSLKLATQRSINAIIPQAPYYAGLSNFNQINTPALILACESDVVAPVATHASPFYNKIPNATPKAFLEINNGSHFCANSGYPDQSLLGLYGISWMKRFIDFDSRYSQFLCGPNHEADYSISEYRENCNY</t>
        </is>
      </c>
      <c r="X18" s="5" t="n">
        <v>1</v>
      </c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5" customHeight="1" s="12">
      <c r="A19" s="5" t="inlineStr">
        <is>
          <t>plasticome.v1_only</t>
        </is>
      </c>
      <c r="B19" s="5" t="inlineStr">
        <is>
          <t>MIEQFPTAGARLSRRNFLVLAGLGAAATVAGCGNTGDTGPATTVIGPDSAAVKAAEQTRRANIGTGKTVTSSLQARPTRIDLGGVQVDTWAYNDRVPGREVRLRRGDLLRAELTNDLPAESTIHWHGIALRNDMDGVPGLTQSAIAPNTPFTYEFLAPDAGTHWLHPHVGMQFDRGLYAPVIVEDPAEGGDYDLEAVLVLDDWLDGVTGRTPDQQLDTLRQGGMPMSGMGMDHGGMSGMGMGAVTDPANPLGADTGDVEYPYYLINGTLAADPFSVRARPGQRIRLRIINAGADTAFRIAVGGHELTVTHTDGYPVEPVTGSSLLIGMGERFDAVVTLGDGVFPIVASAEGKQGQGFALIRTGAGRTPEPTIRPTELDAPPITGLGLRAREEVRLGSRDPDRVHELMLGMDMSGYRWTINGATYDQHTPLDVAEGQRVRLRFVNQTMMFHPMHLHGHTFQLVDGQGAGPRKDTTLVLPNQTVEVDLDADNPGQWLVHCHNLYHGEAGMMTTLSYTE</t>
        </is>
      </c>
      <c r="C19" s="5" t="n">
        <v>201</v>
      </c>
      <c r="D19" s="5" t="inlineStr">
        <is>
          <t>AII11185.1</t>
        </is>
      </c>
      <c r="E19" s="5" t="n">
        <v>14</v>
      </c>
      <c r="F19" s="5" t="inlineStr">
        <is>
          <t>Lmc</t>
        </is>
      </c>
      <c r="G19" s="5" t="inlineStr">
        <is>
          <t>Cupredoxins - blue copper</t>
        </is>
      </c>
      <c r="H19" s="5" t="inlineStr">
        <is>
          <t>2.60.40.420</t>
        </is>
      </c>
      <c r="I19" s="5" t="inlineStr">
        <is>
          <t>Bacteria</t>
        </is>
      </c>
      <c r="J19" s="5" t="inlineStr">
        <is>
          <t>Rhodococcus opacus R7</t>
        </is>
      </c>
      <c r="K19" s="5" t="inlineStr">
        <is>
          <t>LMC021</t>
        </is>
      </c>
      <c r="L19" s="5" t="inlineStr">
        <is>
          <t>PE</t>
        </is>
      </c>
      <c r="M19" s="5" t="inlineStr">
        <is>
          <t>-</t>
        </is>
      </c>
      <c r="N19" s="5" t="inlineStr">
        <is>
          <t>Zampolli, 2023</t>
        </is>
      </c>
      <c r="O19" s="5" t="inlineStr">
        <is>
          <t>AII11185</t>
        </is>
      </c>
      <c r="P19" s="5" t="inlineStr">
        <is>
          <t>AII11185.1</t>
        </is>
      </c>
      <c r="Q19" s="5" t="inlineStr">
        <is>
          <t>-</t>
        </is>
      </c>
      <c r="R19" s="5" t="inlineStr">
        <is>
          <t>A0A076EYX8</t>
        </is>
      </c>
      <c r="S19" s="5" t="inlineStr">
        <is>
          <t>copper oxidase</t>
        </is>
      </c>
      <c r="T19" s="5" t="inlineStr">
        <is>
          <t>Rhodococcus opacus</t>
        </is>
      </c>
      <c r="U19" s="5">
        <f>FALSE()</f>
        <v/>
      </c>
      <c r="V19" s="5">
        <f>TRUE()</f>
        <v/>
      </c>
      <c r="W19" s="5" t="inlineStr">
        <is>
          <t>MIEQFPTAGARLSRRNFLVLAGLGAAATVAGCGNTGDTGPATTVIGPDSAAVKAAEQTRRANIGTGKTVTSSLQARPTRIDLGGVQVDTWAYNDRVPGREVRLRRGDLLRAELTNDLPAESTIHWHGIALRNDMDGVPGLTQSAIAPNTPFTYEFLAPDAGTHWLHPHVGMQFDRGLYAPVIVEDPAEGGDYDLEAVLVLDDWLDGVTGRTPDQQLDTLRQGGMPMSGMGMDHGGMSGMGMGAVTDPANPLGADTGDVEYPYYLINGTLAADPFSVRARPGQRIRLRIINAGADTAFRIAVGGHELTVTHTDGYPVEPVTGSSLLIGMGERFDAVVTLGDGVFPIVASAEGKQGQGFALIRTGAGRTPEPTIRPTELDAPPITGLGLRAREEVRLGSRDPDRVHELMLGMDMSGYRWTINGATYDQHTPLDVAEGQRVRLRFVNQTMMFHPMHLHGHTFQLVDGQGAGPRKDTTLVLPNQTVEVDLDADNPGQWLVHCHNLYHGEAGMMTTLSYTE</t>
        </is>
      </c>
      <c r="X19" s="5" t="n">
        <v>1</v>
      </c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5" customHeight="1" s="12">
      <c r="A20" s="5" t="inlineStr">
        <is>
          <t>plasticome.v1_only</t>
        </is>
      </c>
      <c r="B20" s="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C20" s="5" t="n">
        <v>92</v>
      </c>
      <c r="D20" s="5" t="inlineStr">
        <is>
          <t>P00780.2</t>
        </is>
      </c>
      <c r="E20" s="5" t="n">
        <v>21</v>
      </c>
      <c r="F20" s="5" t="inlineStr">
        <is>
          <t>Ipet</t>
        </is>
      </c>
      <c r="G20" s="5" t="inlineStr">
        <is>
          <t>Alpha/Beta Hydrolase</t>
        </is>
      </c>
      <c r="H20" s="5" t="inlineStr">
        <is>
          <t>3.40.50.1820</t>
        </is>
      </c>
      <c r="I20" s="5" t="inlineStr">
        <is>
          <t>Bacteria</t>
        </is>
      </c>
      <c r="J20" s="5" t="inlineStr">
        <is>
          <t>Lederbergia (Bacillus) licheniformis</t>
        </is>
      </c>
      <c r="K20" s="5" t="inlineStr">
        <is>
          <t>Subtilisin; subC</t>
        </is>
      </c>
      <c r="L20" s="5" t="inlineStr">
        <is>
          <t>PLA</t>
        </is>
      </c>
      <c r="M20" s="5" t="inlineStr">
        <is>
          <t>EC 3.4.-</t>
        </is>
      </c>
      <c r="N20" s="5" t="inlineStr">
        <is>
          <t>Oda, 2000</t>
        </is>
      </c>
      <c r="O20" s="5" t="inlineStr">
        <is>
          <t>P00780</t>
        </is>
      </c>
      <c r="P20" s="5" t="inlineStr">
        <is>
          <t>P00780.2</t>
        </is>
      </c>
      <c r="Q20" s="5" t="inlineStr">
        <is>
          <t>-</t>
        </is>
      </c>
      <c r="R20" s="5" t="inlineStr">
        <is>
          <t>P00780</t>
        </is>
      </c>
      <c r="S20" s="5" t="inlineStr">
        <is>
          <t>Subtilisin Carlsberg</t>
        </is>
      </c>
      <c r="T20" s="5" t="inlineStr">
        <is>
          <t>-</t>
        </is>
      </c>
      <c r="U20" s="5">
        <f>FALSE()</f>
        <v/>
      </c>
      <c r="V20" s="5">
        <f>TRUE()</f>
        <v/>
      </c>
      <c r="W20" s="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X20" s="5" t="n">
        <v>1</v>
      </c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5" customHeight="1" s="12">
      <c r="A21" s="5" t="inlineStr">
        <is>
          <t>plasticome.v1_only</t>
        </is>
      </c>
      <c r="B21" s="5" t="inlineStr">
        <is>
          <t>MIRPVTFRNMNQQIIGILHTPDNIRLNEKVPGILMFHGFTGNKTEAHRLFVHVARSLSEHGFIVLRFDFRGSGDSDGEFEDMTLPGEVSDAERALTFLLRQRNVDKNRIGVIGLSMGGRVAAILASKDRRVKFAVLYSPALGPLRDRSLSFMSKEKIERLNSGEAVEFFAEGWYIKKAFFETVDYIVPLDIMDSIKVPVLIVHGDKDPLIPVGEAIRAYEKIKGVNEKNELYIVRGGDHTFSKKEHTLEVIKKTLDWIRSLGI</t>
        </is>
      </c>
      <c r="C21" s="5" t="n">
        <v>37</v>
      </c>
      <c r="D21" s="5" t="inlineStr">
        <is>
          <t>MBS7639053.1</t>
        </is>
      </c>
      <c r="E21" s="5" t="n">
        <v>1</v>
      </c>
      <c r="F21" s="5" t="inlineStr">
        <is>
          <t>Ipet</t>
        </is>
      </c>
      <c r="G21" s="5" t="inlineStr">
        <is>
          <t>Alpha/Beta Hydrolase</t>
        </is>
      </c>
      <c r="H21" s="5" t="inlineStr">
        <is>
          <t>3.40.50.1820</t>
        </is>
      </c>
      <c r="I21" s="5" t="inlineStr">
        <is>
          <t>Metagenome</t>
        </is>
      </c>
      <c r="J21" s="5" t="inlineStr">
        <is>
          <t>Metagenome</t>
        </is>
      </c>
      <c r="K21" s="5" t="inlineStr">
        <is>
          <t>Enzyme 211 like</t>
        </is>
      </c>
      <c r="L21" s="5" t="inlineStr">
        <is>
          <t>PET</t>
        </is>
      </c>
      <c r="M21" s="5" t="inlineStr">
        <is>
          <t>-</t>
        </is>
      </c>
      <c r="N21" s="5" t="inlineStr">
        <is>
          <t>Erickson, 2022</t>
        </is>
      </c>
      <c r="O21" s="5" t="inlineStr">
        <is>
          <t>JzSedJan11_10004914</t>
        </is>
      </c>
      <c r="P21" s="5" t="inlineStr">
        <is>
          <t>-</t>
        </is>
      </c>
      <c r="Q21" s="5" t="inlineStr">
        <is>
          <t>-</t>
        </is>
      </c>
      <c r="R21" s="5" t="inlineStr">
        <is>
          <t>-</t>
        </is>
      </c>
      <c r="S21" s="5" t="inlineStr">
        <is>
          <t>alpha/beta fold hydrolase</t>
        </is>
      </c>
      <c r="T21" s="5" t="inlineStr">
        <is>
          <t>Candidatus Bathyarchaeota archaeon</t>
        </is>
      </c>
      <c r="U21" s="5">
        <f>FALSE()</f>
        <v/>
      </c>
      <c r="V21" s="5">
        <f>TRUE()</f>
        <v/>
      </c>
      <c r="W21" s="5" t="inlineStr">
        <is>
          <t>MIRPVTFRNMNQQIIGILHTPDNIRLNEKVPGILMFHGFTGNKTEAHRLFVHVARSLSEHGFIVLRFDFRGSGDSDGEFEDMTLPGEVSDAERALTFLLRQRNVDKNRIGVIGLSMGGRVAAILASKDRRVKFAVLYSPALGPLRDRSLSFMSKEKIERLNSGEAVEFFAEGWYIKKAFFETVDYIVPLDIMDSIKVPVLIVHGDKDPLIPVGEAIRAYEKIKGVNEKNELYIVRGGDHTFSKKEHTLEVIKKTLDWIRSLGI</t>
        </is>
      </c>
      <c r="X21" s="5" t="n">
        <v>1</v>
      </c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15" customHeight="1" s="12">
      <c r="A22" s="5" t="inlineStr">
        <is>
          <t>plasticome.v1_only</t>
        </is>
      </c>
      <c r="B22" s="5" t="inlineStr">
        <is>
          <t>MSRQGSSLSGCREQLVWVPSAGVGLSGVLHLPAGVSRPVLFLHGFTGNKTESGRLYTDMARVLCSVGYAALRFDFRCHGDSPLPFEEFRISLAVEDARNAAGFLKNVPEVDGTRFGVVGLSMGGGVAVSLAAGREDVGALVLLSPALDWPELFQRARGFFRAEEGYVYWGPNRMRDVYAMETMNFSVMGLAEEIKAPTLIIHSVDDMVVPISQAKRFYEKLKVEKKFIEIEHGGHVFDDYNVRRRIEQEVLEWVKRHL</t>
        </is>
      </c>
      <c r="C22" s="5" t="n">
        <v>85</v>
      </c>
      <c r="D22" s="5" t="inlineStr">
        <is>
          <t>WP_187147021.1</t>
        </is>
      </c>
      <c r="E22" s="5" t="n">
        <v>1</v>
      </c>
      <c r="F22" s="5" t="inlineStr">
        <is>
          <t>Ipet</t>
        </is>
      </c>
      <c r="G22" s="5" t="inlineStr">
        <is>
          <t>Alpha/Beta Hydrolase</t>
        </is>
      </c>
      <c r="H22" s="5" t="inlineStr">
        <is>
          <t>3.40.50.1820</t>
        </is>
      </c>
      <c r="I22" s="5" t="inlineStr">
        <is>
          <t>Metagenome</t>
        </is>
      </c>
      <c r="J22" s="5" t="inlineStr">
        <is>
          <t>Metagenome</t>
        </is>
      </c>
      <c r="K22" s="5" t="inlineStr">
        <is>
          <t>Enzyme 204 like</t>
        </is>
      </c>
      <c r="L22" s="5" t="inlineStr">
        <is>
          <t>PET</t>
        </is>
      </c>
      <c r="M22" s="5" t="inlineStr">
        <is>
          <t>-</t>
        </is>
      </c>
      <c r="N22" s="5" t="inlineStr">
        <is>
          <t>Erickson, 2022</t>
        </is>
      </c>
      <c r="O22" s="5" t="inlineStr">
        <is>
          <t>YNP18_240440</t>
        </is>
      </c>
      <c r="P22" s="5" t="inlineStr">
        <is>
          <t>-</t>
        </is>
      </c>
      <c r="Q22" s="5" t="inlineStr">
        <is>
          <t>-</t>
        </is>
      </c>
      <c r="R22" s="5" t="inlineStr">
        <is>
          <t>-</t>
        </is>
      </c>
      <c r="S22" s="5" t="inlineStr">
        <is>
          <t>alpha/beta hydrolase</t>
        </is>
      </c>
      <c r="T22" s="5" t="inlineStr">
        <is>
          <t>Thermofilum adornatum</t>
        </is>
      </c>
      <c r="U22" s="5">
        <f>FALSE()</f>
        <v/>
      </c>
      <c r="V22" s="5">
        <f>TRUE()</f>
        <v/>
      </c>
      <c r="W22" s="5" t="inlineStr">
        <is>
          <t>MSRQGSSLSGCREQLVWVPSAGVGLSGVLHLPAGVSRPVLFLHGFTGNKTESGRLYTDMARVLCSVGYAALRFDFRCHGDSPLPFEEFRISLAVEDARNAAGFLKNVPEVDGTRFGVVGLSMGGGVAVSLAAGREDVGALVLLSPALDWPELFQRARGFFRAEEGYVYWGPNRMRDVYAMETMNFSVMGLAEEIKAPTLIIHSVDDMVVPISQAKRFYEKLKVEKKFIEIEHGGHVFDDYNVRRRIEQEVLEWVKRHL</t>
        </is>
      </c>
      <c r="X22" s="5" t="n">
        <v>1</v>
      </c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15" customHeight="1" s="12">
      <c r="A23" s="5" t="inlineStr">
        <is>
          <t>plasticome.v1_only</t>
        </is>
      </c>
      <c r="B23" s="5" t="inlineStr">
        <is>
          <t>MKFGKFVLLAASTALAVVGLGGPAAADSTPQAQPSIIGGSNATSGPWAARLFVNGRQNCTATIIAPQYILTAKHCVSSSGTYTFRIGSLDQTSGGTMATGSTITRYPGSADLAIVRLTTSVNATYSPLGSVGDVSVGQNVSVYGWGATSQCGSEINCQSRYLKVATVRVNSISCSDYTGGVAVCANRVNGITAGGDSGGPMFASGRQVGVASTSDRVNNTAYTNITRYRSWISQVAGV</t>
        </is>
      </c>
      <c r="C23" s="5" t="n">
        <v>199</v>
      </c>
      <c r="D23" s="5" t="inlineStr">
        <is>
          <t>Q75UA4</t>
        </is>
      </c>
      <c r="E23" s="5" t="n">
        <v>11</v>
      </c>
      <c r="F23" s="5" t="inlineStr">
        <is>
          <t>AtryA</t>
        </is>
      </c>
      <c r="G23" s="5" t="inlineStr">
        <is>
          <t>Trypsin-like</t>
        </is>
      </c>
      <c r="H23" s="5" t="inlineStr">
        <is>
          <t>2.40.10.10</t>
        </is>
      </c>
      <c r="I23" s="5" t="inlineStr">
        <is>
          <t>Bacteria</t>
        </is>
      </c>
      <c r="J23" s="5" t="inlineStr">
        <is>
          <t>Amycolatopsis (Nocardia) sp. strain K104-1</t>
        </is>
      </c>
      <c r="K23" s="5" t="inlineStr">
        <is>
          <t>PLAase</t>
        </is>
      </c>
      <c r="L23" s="5" t="inlineStr">
        <is>
          <t>PLA</t>
        </is>
      </c>
      <c r="M23" s="5" t="inlineStr">
        <is>
          <t>EC 3.4</t>
        </is>
      </c>
      <c r="N23" s="5" t="inlineStr">
        <is>
          <t>Nakamura, 2001</t>
        </is>
      </c>
      <c r="O23" s="5" t="inlineStr">
        <is>
          <t>Q75UA4</t>
        </is>
      </c>
      <c r="P23" s="5" t="inlineStr">
        <is>
          <t>-</t>
        </is>
      </c>
      <c r="Q23" s="5" t="inlineStr">
        <is>
          <t>-</t>
        </is>
      </c>
      <c r="R23" s="5" t="inlineStr">
        <is>
          <t>Q75UA4</t>
        </is>
      </c>
      <c r="S23" s="5" t="inlineStr">
        <is>
          <t>Poly(L-lactic acid) depolymerase</t>
        </is>
      </c>
      <c r="T23" s="5" t="inlineStr">
        <is>
          <t>-</t>
        </is>
      </c>
      <c r="U23" s="5">
        <f>FALSE()</f>
        <v/>
      </c>
      <c r="V23" s="5">
        <f>TRUE()</f>
        <v/>
      </c>
      <c r="W23" s="5" t="inlineStr">
        <is>
          <t>MKFGKFVLLAASTALAVVGLGGPAAADSTPQAQPSIIGGSNATSGPWAARLFVNGRQNCTATIIAPQYILTAKHCVSSSGTYTFRIGSLDQTSGGTMATGSTITRYPGSADLAIVRLTTSVNATYSPLGSVGDVSVGQNVSVYGWGATSQCGSEINCQSRYLKVATVRVNSISCSDYTGGVAVCANRVNGITAGGDSGGPMFASGRQVGVASTSDRVNNTAYTNITRYRSWISQVAGV</t>
        </is>
      </c>
      <c r="X23" s="5" t="n">
        <v>1</v>
      </c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 ht="15" customHeight="1" s="12">
      <c r="A24" s="5" t="inlineStr">
        <is>
          <t>plasticome.v1_only</t>
        </is>
      </c>
      <c r="B24" s="5" t="inlineStr">
        <is>
          <t>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  <c r="C24" s="5" t="n">
        <v>79</v>
      </c>
      <c r="D24" s="5" t="inlineStr">
        <is>
          <t>WP_101893509.1</t>
        </is>
      </c>
      <c r="E24" s="5" t="n">
        <v>1</v>
      </c>
      <c r="F24" s="5" t="inlineStr">
        <is>
          <t>Ipet</t>
        </is>
      </c>
      <c r="G24" s="5" t="inlineStr">
        <is>
          <t>Alpha/Beta Hydrolase</t>
        </is>
      </c>
      <c r="H24" s="5" t="inlineStr">
        <is>
          <t>3.40.50.1820</t>
        </is>
      </c>
      <c r="I24" s="5" t="inlineStr">
        <is>
          <t>Bacteria</t>
        </is>
      </c>
      <c r="J24" s="5" t="inlineStr">
        <is>
          <t>Ketobacter sp.</t>
        </is>
      </c>
      <c r="K24" s="5" t="inlineStr">
        <is>
          <t>Enzyme 409</t>
        </is>
      </c>
      <c r="L24" s="5" t="inlineStr">
        <is>
          <t>PET</t>
        </is>
      </c>
      <c r="M24" s="5" t="inlineStr">
        <is>
          <t>-</t>
        </is>
      </c>
      <c r="N24" s="5" t="inlineStr">
        <is>
          <t>Erickson, 2022</t>
        </is>
      </c>
      <c r="O24" s="5" t="inlineStr">
        <is>
          <t>WP_101893509.1</t>
        </is>
      </c>
      <c r="P24" s="5" t="inlineStr">
        <is>
          <t>WP_101893509.1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dienelactone hydrolase family protein</t>
        </is>
      </c>
      <c r="T24" s="5" t="inlineStr">
        <is>
          <t>Ketobacter alkanivorans</t>
        </is>
      </c>
      <c r="U24" s="5">
        <f>FALSE()</f>
        <v/>
      </c>
      <c r="V24" s="5">
        <f>TRUE()</f>
        <v/>
      </c>
      <c r="W24" s="5" t="inlineStr">
        <is>
          <t>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  <c r="X24" s="5" t="n">
        <v>1</v>
      </c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 ht="15" customHeight="1" s="12">
      <c r="A25" s="5" t="inlineStr">
        <is>
          <t>plasticome.v1_only</t>
        </is>
      </c>
      <c r="B25" s="5" t="inlineStr">
        <is>
          <t>MKITKLLGVAATAALATGALVTGTPAAASSDTLLNAEMVPALQRDLGLTAGQALARIQSETAAGTLEQSLASALAGSFGGASYNEATGKLRVGVTDAAKLGQVVASGAEAELVRFSAAQLDSTVDKLNAGERAADGAITGWGVDTKTNRVTLNVLPGKSGTVDSFLEKTGVDKSAVAVVETAAVPTLKYDVRGGDAYYINNSSRCSIGFSVNGGFLTAGHCGPGTVTGSNRVAMGSFARASFPGNDYGHVRVNSNWVPRGIINNGTRVSGSSEASTGASICKSGSTTGWTCGTVGAKNQTVRYAEGTVYGMTATNVRSQAGDSGGSFIAGNQAQGMLSGGNSTVTYFFPVRPALSATGTSLVLG</t>
        </is>
      </c>
      <c r="C25" s="5" t="n">
        <v>200</v>
      </c>
      <c r="D25" s="5" t="inlineStr">
        <is>
          <t>WP_044849715.1</t>
        </is>
      </c>
      <c r="E25" s="5" t="n">
        <v>12</v>
      </c>
      <c r="F25" s="5" t="inlineStr">
        <is>
          <t>AtryB</t>
        </is>
      </c>
      <c r="G25" s="5" t="inlineStr">
        <is>
          <t>Trypsin-like</t>
        </is>
      </c>
      <c r="H25" s="5" t="inlineStr">
        <is>
          <t>2.40.10.10</t>
        </is>
      </c>
      <c r="I25" s="5" t="inlineStr">
        <is>
          <t>Bacteria</t>
        </is>
      </c>
      <c r="J25" s="5" t="inlineStr">
        <is>
          <t>Amycolatopsis (Nocardia) orientalis</t>
        </is>
      </c>
      <c r="K25" s="5" t="inlineStr">
        <is>
          <t>PLase3</t>
        </is>
      </c>
      <c r="L25" s="5" t="inlineStr">
        <is>
          <t>PLA</t>
        </is>
      </c>
      <c r="M25" s="5" t="inlineStr">
        <is>
          <t>EC 3.4.-</t>
        </is>
      </c>
      <c r="N25" s="5" t="inlineStr">
        <is>
          <t>Fan, 2008</t>
        </is>
      </c>
      <c r="O25" s="5" t="inlineStr">
        <is>
          <t>B0FY08</t>
        </is>
      </c>
      <c r="P25" s="5" t="inlineStr">
        <is>
          <t>ABY67151.1</t>
        </is>
      </c>
      <c r="Q25" s="5" t="inlineStr">
        <is>
          <t>-</t>
        </is>
      </c>
      <c r="R25" s="5" t="inlineStr">
        <is>
          <t>B0FY08</t>
        </is>
      </c>
      <c r="S25" s="5" t="inlineStr">
        <is>
          <t>S1 family peptidase</t>
        </is>
      </c>
      <c r="T25" s="5" t="inlineStr">
        <is>
          <t>Amycolatopsis orientalis</t>
        </is>
      </c>
      <c r="U25" s="5">
        <f>FALSE()</f>
        <v/>
      </c>
      <c r="V25" s="5">
        <f>TRUE()</f>
        <v/>
      </c>
      <c r="W25" s="5" t="inlineStr">
        <is>
          <t>MKITKLLGVAATAALATGALVTGTPAAASSDTLLNAEMVPALQRDLGLTAGQALARIQSETAAGTLEQSLASALAGSFGGASYNEATGKLRVGVTDAAKLGQVVASGAEAELVRFSAAQLDSTVDKLNAGERAADGAITGWGVDTKTNRVTLNVLPGKSGTVDSFLEKTGVDKSAVAVVETAAVPTLKYDVRGGDAYYINNSSRCSIGFSVNGGFLTAGHCGPGTVTGSNRVAMGSFARASFPGNDYGHVRVNSNWVPRGIINNGTRVSGSSEASTGASICKSGSTTGWTCGTVGAKNQTVRYAEGTVYGMTATNVRSQAGDSGGSFIAGNQAQGMLSGGNSTVTYFFPVRPALSATGTSLVLG</t>
        </is>
      </c>
      <c r="X25" s="5" t="n">
        <v>1</v>
      </c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 ht="15" customHeight="1" s="12">
      <c r="A26" s="5" t="inlineStr">
        <is>
          <t>plasticome.v1_only</t>
        </is>
      </c>
      <c r="B26" s="5" t="inlineStr">
        <is>
          <t>MKIWLSRIATVTLTTILLSFNGYGKAESSDQMVTIDTGTLKGTVTNNVLSFKGIPYAAPPVGNLRWRAPQLVQPWSGVRPATEYGHDCIQLPLPGDAAASGGPMSEDCLVLNVWRPVAIEPDQKLPVLVWIHGGGFLNGSSAAPIYDGSAFAQQGLVVVSFNYRLGRLGFFAHPALTAANEGSLGNYGLLDQLAALRWVQRNVAAFGGDPSQVTIMGESAGGISVMHHLTSPQSQGLFHRAIVLSGGGRTYLVGLRKLSQSTPELPSAEESGLEFARSVGVTGTGPEALAALRALPAEQVNGDMNMGALLSKPPTYAGGPIFDGDLITTTPGEILQRGEGADVPVLIGTTSADLPVTFPPLENPFSYFGPEAAQAIAAYNPDGTLPPEVIIPTIAVDITMHEPARFVARQVTAAGNSAWLYRFGYVAESLRPEQLGAEHASEQPYLFSTLDARYGEAVTENDREMARLFHTYFANFAKSGNPNGAGLPPWPQYDSTKPDLMLFTLDANAVIQPDPWTERLDLVERAADAQSSPPNAVRDLGGTSWQLVQFQSGDILFGRDRLGSS</t>
        </is>
      </c>
      <c r="C26" s="5" t="n">
        <v>109</v>
      </c>
      <c r="D26" s="5" t="inlineStr">
        <is>
          <t>WNZ22885.1</t>
        </is>
      </c>
      <c r="E26" s="5" t="n">
        <v>23</v>
      </c>
      <c r="F26" s="5" t="inlineStr">
        <is>
          <t>Ipet</t>
        </is>
      </c>
      <c r="G26" s="5" t="inlineStr">
        <is>
          <t>Alpha/Beta Hydrolase</t>
        </is>
      </c>
      <c r="H26" s="5" t="inlineStr">
        <is>
          <t>3.40.50.1820</t>
        </is>
      </c>
      <c r="I26" s="5" t="inlineStr">
        <is>
          <t>Metagenome</t>
        </is>
      </c>
      <c r="J26" s="5" t="inlineStr">
        <is>
          <t>Metagenome</t>
        </is>
      </c>
      <c r="K26" s="5" t="inlineStr">
        <is>
          <t>Enzyme 102 like</t>
        </is>
      </c>
      <c r="L26" s="5" t="inlineStr">
        <is>
          <t>PET</t>
        </is>
      </c>
      <c r="M26" s="5" t="inlineStr">
        <is>
          <t>-</t>
        </is>
      </c>
      <c r="N26" s="5" t="inlineStr">
        <is>
          <t>Erickson, 2022</t>
        </is>
      </c>
      <c r="O26" s="5" t="inlineStr">
        <is>
          <t>YNP6_02150</t>
        </is>
      </c>
      <c r="P26" s="5" t="inlineStr">
        <is>
          <t>-</t>
        </is>
      </c>
      <c r="Q26" s="5" t="inlineStr">
        <is>
          <t>-</t>
        </is>
      </c>
      <c r="R26" s="5" t="inlineStr">
        <is>
          <t>A0AA96WDD6</t>
        </is>
      </c>
      <c r="S26" s="5" t="inlineStr">
        <is>
          <t>carboxylesterase family protein</t>
        </is>
      </c>
      <c r="T26" s="5" t="inlineStr">
        <is>
          <t>Leptolyngbya sp. NK1-12</t>
        </is>
      </c>
      <c r="U26" s="5">
        <f>FALSE()</f>
        <v/>
      </c>
      <c r="V26" s="5">
        <f>TRUE()</f>
        <v/>
      </c>
      <c r="W26" s="5" t="inlineStr">
        <is>
          <t>MKIWLSRIATVTLTTILLSFNGYGKAESSDQMVTIDTGTLKGTVTNNVLSFKGIPYAAPPVGNLRWRAPQLVQPWSGVRPATEYGHDCIQLPLPGDAAASGGPMSEDCLVLNVWRPVAIEPDQKLPVLVWIHGGGFLNGSSAAPIYDGSAFAQQGLVVVSFNYRLGRLGFFAHPALTAANEGSLGNYGLLDQLAALRWVQRNVAAFGGDPSQVTIMGESAGGISVMHHLTSPQSQGLFHRAIVLSGGGRTYLVGLRKLSQSTPELPSAEESGLEFARSVGVTGTGPEALAALRALPAEQVNGDMNMGALLSKPPTYAGGPIFDGDLITTTPGEILQRGEGADVPVLIGTTSADLPVTFPPLENPFSYFGPEAAQAIAAYNPDGTLPPEVIIPTIAVDITMHEPARFVARQVTAAGNSAWLYRFGYVAESLRPEQLGAEHASEQPYLFSTLDARYGEAVTENDREMARLFHTYFANFAKSGNPNGAGLPPWPQYDSTKPDLMLFTLDANAVIQPDPWTERLDLVERAADAQSSPPNAVRDLGGTSWQLVQFQSGDILFGRDRLGSS</t>
        </is>
      </c>
      <c r="X26" s="5" t="n">
        <v>1</v>
      </c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15" customHeight="1" s="12">
      <c r="A27" s="5" t="inlineStr">
        <is>
          <t>plasticome.v1_only</t>
        </is>
      </c>
      <c r="B27" s="5" t="inlineStr">
        <is>
          <t>MKKRTIEIPLTFECENQQIIGVLHLPNKKGRIPLVVLVHGWSANKLGTWNAFFVRAAREFSKNGFAVLRFDFRGSGDSEGKFEDQTVTSMLKDLDAVITQVSEKFPQIDNKRVCLIGHSQGAYVSFLQATKDKRIKCLVSWMGRLSDLKEFWSKTWFYEIERKGYIYEWDYKITKKYVQDSLKYNLSKLAWRIKIPTLLIYGELDDIVPPSEGMKFYRKIKSPKKIVIVKDLNHTFSGEKAKKSVIRITLKWLSKWL</t>
        </is>
      </c>
      <c r="C27" s="5" t="n">
        <v>39</v>
      </c>
      <c r="D27" s="5" t="inlineStr">
        <is>
          <t>MDT7859148.1</t>
        </is>
      </c>
      <c r="E27" s="5" t="n">
        <v>1</v>
      </c>
      <c r="F27" s="5" t="inlineStr">
        <is>
          <t>Ipet</t>
        </is>
      </c>
      <c r="G27" s="5" t="inlineStr">
        <is>
          <t>Alpha/Beta Hydrolase</t>
        </is>
      </c>
      <c r="H27" s="5" t="inlineStr">
        <is>
          <t>3.40.50.1820</t>
        </is>
      </c>
      <c r="I27" s="5" t="inlineStr">
        <is>
          <t>Metagenome</t>
        </is>
      </c>
      <c r="J27" s="5" t="inlineStr">
        <is>
          <t>Metagenome</t>
        </is>
      </c>
      <c r="K27" s="5" t="inlineStr">
        <is>
          <t>Enzyme 307 like</t>
        </is>
      </c>
      <c r="L27" s="5" t="inlineStr">
        <is>
          <t>PET</t>
        </is>
      </c>
      <c r="M27" s="5" t="inlineStr">
        <is>
          <t>-</t>
        </is>
      </c>
      <c r="N27" s="5" t="inlineStr">
        <is>
          <t>Erickson, 2022</t>
        </is>
      </c>
      <c r="O27" s="5" t="inlineStr">
        <is>
          <t>JGI20132J14458_10325381</t>
        </is>
      </c>
      <c r="P27" s="5" t="inlineStr">
        <is>
          <t>-</t>
        </is>
      </c>
      <c r="Q27" s="5" t="inlineStr">
        <is>
          <t>-</t>
        </is>
      </c>
      <c r="R27" s="5" t="inlineStr">
        <is>
          <t>-</t>
        </is>
      </c>
      <c r="S27" s="5" t="inlineStr">
        <is>
          <t>alpha/beta fold hydrolase</t>
        </is>
      </c>
      <c r="T27" s="5" t="inlineStr">
        <is>
          <t>Candidatus Aenigmarchaeota archaeon</t>
        </is>
      </c>
      <c r="U27" s="5">
        <f>FALSE()</f>
        <v/>
      </c>
      <c r="V27" s="5">
        <f>TRUE()</f>
        <v/>
      </c>
      <c r="W27" s="5" t="inlineStr">
        <is>
          <t>MKKRTIEIPLTFECENQQIIGVLHLPNKKGRIPLVVLVHGWSANKLGTWNAFFVRAAREFSKNGFAVLRFDFRGSGDSEGKFEDQTVTSMLKDLDAVITQVSEKFPQIDNKRVCLIGHSQGAYVSFLQATKDKRIKCLVSWMGRLSDLKEFWSKTWFYEIERKGYIYEWDYKITKKYVQDSLKYNLSKLAWRIKIPTLLIYGELDDIVPPSEGMKFYRKIKSPKKIVIVKDLNHTFSGEKAKKSVIRITLKWLSKWL</t>
        </is>
      </c>
      <c r="X27" s="5" t="n">
        <v>1</v>
      </c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 ht="15" customHeight="1" s="12">
      <c r="A28" s="5" t="inlineStr">
        <is>
          <t>plasticome.v1_only</t>
        </is>
      </c>
      <c r="B28" s="5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C28" s="5" t="n">
        <v>87</v>
      </c>
      <c r="D28" s="5" t="inlineStr">
        <is>
          <t>XCO66867.1</t>
        </is>
      </c>
      <c r="E28" s="5" t="n">
        <v>1</v>
      </c>
      <c r="F28" s="5" t="inlineStr">
        <is>
          <t>Ipet</t>
        </is>
      </c>
      <c r="G28" s="5" t="inlineStr">
        <is>
          <t>Alpha/Beta Hydrolase</t>
        </is>
      </c>
      <c r="H28" s="5" t="inlineStr">
        <is>
          <t>3.40.50.1820</t>
        </is>
      </c>
      <c r="I28" s="5" t="inlineStr">
        <is>
          <t>Bacteria</t>
        </is>
      </c>
      <c r="J28" s="5" t="inlineStr">
        <is>
          <t>Aeromicrobium sp.</t>
        </is>
      </c>
      <c r="K28" s="5" t="inlineStr">
        <is>
          <t>PurH</t>
        </is>
      </c>
      <c r="L28" s="5" t="inlineStr">
        <is>
          <t>PUR</t>
        </is>
      </c>
      <c r="M28" s="5" t="inlineStr">
        <is>
          <t>-</t>
        </is>
      </c>
      <c r="N28" s="5" t="inlineStr">
        <is>
          <t>Zhang, 2024</t>
        </is>
      </c>
      <c r="O28" s="5" t="inlineStr">
        <is>
          <t>XCO66867</t>
        </is>
      </c>
      <c r="P28" s="5" t="inlineStr">
        <is>
          <t>XCO66867</t>
        </is>
      </c>
      <c r="Q28" s="5" t="inlineStr">
        <is>
          <t>-</t>
        </is>
      </c>
      <c r="R28" s="5" t="inlineStr">
        <is>
          <t>-</t>
        </is>
      </c>
      <c r="S28" s="5" t="inlineStr">
        <is>
          <t>PurH</t>
        </is>
      </c>
      <c r="T28" s="5" t="inlineStr">
        <is>
          <t>Aeromicrobium sp.</t>
        </is>
      </c>
      <c r="U28" s="5">
        <f>FALSE()</f>
        <v/>
      </c>
      <c r="V28" s="5">
        <f>TRUE()</f>
        <v/>
      </c>
      <c r="W28" s="5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X28" s="5" t="n">
        <v>1</v>
      </c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 ht="15" customHeight="1" s="12">
      <c r="A29" s="5" t="inlineStr">
        <is>
          <t>plasticome.v1_only</t>
        </is>
      </c>
      <c r="B29" s="5" t="inlineStr">
        <is>
          <t>MGISCILLLRAAAACCQARGAAVSALFLALLAAFSVQGQPFPIGTRVITYQDPARNNRNIQTYLYYPATSAGANQPVANGQFPVVVIGHGFTMNYVPYVFWGNALAEAGYIVAIPNTETGFSPSHSAFAADMAFLVAKLYSENNNSNSPFYQHVQSDACIMGHSMGGGCTYLAAQNNANVSATITFAAAETNPSAIAAAANVACPSLVFSGSADCVTPPAQHQIPIYNALPDCKAYISLVGGGHCNFANFNFNCWLGESTCNPSGPPMPADTQRAITLLFVRPWLDRFLKTDYSAGLLFTTRFAQYESAGKITGSIACAPLPIELISFRLRKPRSGIIRLEWRTGSERDADHFVVERSADGRQFESIGVVRANNAPSEYAFEDNRPLVGDNFYRLKLVDWNGQNTYSPVARERAEVRPWRASLMAGGRALLLQADESAEVECLTLYDAAGCLVWRHFLYGQSPPIRIDLPALTPGFYRVDMRLDRSVVSLPVVVP</t>
        </is>
      </c>
      <c r="C29" s="5" t="n">
        <v>38</v>
      </c>
      <c r="D29" s="5" t="inlineStr">
        <is>
          <t>MCS7037955.1</t>
        </is>
      </c>
      <c r="E29" s="5" t="n">
        <v>1</v>
      </c>
      <c r="F29" s="5" t="inlineStr">
        <is>
          <t>Ipet</t>
        </is>
      </c>
      <c r="G29" s="5" t="inlineStr">
        <is>
          <t>Alpha/Beta Hydrolase</t>
        </is>
      </c>
      <c r="H29" s="5" t="inlineStr">
        <is>
          <t>3.40.50.1820</t>
        </is>
      </c>
      <c r="I29" s="5" t="inlineStr">
        <is>
          <t>Metagenome</t>
        </is>
      </c>
      <c r="J29" s="5" t="inlineStr">
        <is>
          <t>Metagenome</t>
        </is>
      </c>
      <c r="K29" s="5" t="inlineStr">
        <is>
          <t>Enzyme 301 like</t>
        </is>
      </c>
      <c r="L29" s="5" t="inlineStr">
        <is>
          <t>PET</t>
        </is>
      </c>
      <c r="M29" s="5" t="inlineStr">
        <is>
          <t>-</t>
        </is>
      </c>
      <c r="N29" s="5" t="inlineStr">
        <is>
          <t>Erickson, 2022</t>
        </is>
      </c>
      <c r="O29" s="5" t="inlineStr">
        <is>
          <t>YNPsite06_CeleraDRAFT_367810</t>
        </is>
      </c>
      <c r="P29" s="5" t="inlineStr">
        <is>
          <t>-</t>
        </is>
      </c>
      <c r="Q29" s="5" t="inlineStr">
        <is>
          <t>-</t>
        </is>
      </c>
      <c r="R29" s="5" t="inlineStr">
        <is>
          <t>-</t>
        </is>
      </c>
      <c r="S29" s="5" t="inlineStr">
        <is>
          <t>alpha/beta hydrolase</t>
        </is>
      </c>
      <c r="T29" s="5" t="inlineStr">
        <is>
          <t>Saprospiraceae bacterium</t>
        </is>
      </c>
      <c r="U29" s="5">
        <f>FALSE()</f>
        <v/>
      </c>
      <c r="V29" s="5">
        <f>TRUE()</f>
        <v/>
      </c>
      <c r="W29" s="5" t="inlineStr">
        <is>
          <t>MGISCILLLRAAAACCQARGAAVSALFLALLAAFSVQGQPFPIGTRVITYQDPARNNRNIQTYLYYPATSAGANQPVANGQFPVVVIGHGFTMNYVPYVFWGNALAEAGYIVAIPNTETGFSPSHSAFAADMAFLVAKLYSENNNSNSPFYQHVQSDACIMGHSMGGGCTYLAAQNNANVSATITFAAAETNPSAIAAAANVACPSLVFSGSADCVTPPAQHQIPIYNALPDCKAYISLVGGGHCNFANFNFNCWLGESTCNPSGPPMPADTQRAITLLFVRPWLDRFLKTDYSAGLLFTTRFAQYESAGKITGSIACAPLPIELISFRLRKPRSGIIRLEWRTGSERDADHFVVERSADGRQFESIGVVRANNAPSEYAFEDNRPLVGDNFYRLKLVDWNGQNTYSPVARERAEVRPWRASLMAGGRALLLQADESAEVECLTLYDAAGCLVWRHFLYGQSPPIRIDLPALTPGFYRVDMRLDRSVVSLPVVVP</t>
        </is>
      </c>
      <c r="X29" s="5" t="n">
        <v>1</v>
      </c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 ht="15" customHeight="1" s="12">
      <c r="A30" s="5" t="inlineStr">
        <is>
          <t>plasticome.v1_only</t>
        </is>
      </c>
      <c r="B30" s="5" t="inlineStr">
        <is>
          <t>M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PNLTLANITQEDNQIQHA</t>
        </is>
      </c>
      <c r="C30" s="5" t="n">
        <v>101</v>
      </c>
      <c r="D30" s="5" t="inlineStr">
        <is>
          <t>ALS54749.1</t>
        </is>
      </c>
      <c r="E30" s="5" t="n">
        <v>23</v>
      </c>
      <c r="F30" s="5" t="inlineStr">
        <is>
          <t>Ipet</t>
        </is>
      </c>
      <c r="G30" s="5" t="inlineStr">
        <is>
          <t>Alpha/Beta Hydrolase</t>
        </is>
      </c>
      <c r="H30" s="5" t="inlineStr">
        <is>
          <t>3.40.50.1820</t>
        </is>
      </c>
      <c r="I30" s="5" t="inlineStr">
        <is>
          <t>Bacteria</t>
        </is>
      </c>
      <c r="J30" s="5" t="inlineStr">
        <is>
          <t>Clostridium hathewayi DSM-13479</t>
        </is>
      </c>
      <c r="K30" s="5" t="inlineStr">
        <is>
          <t>Chath_Est1</t>
        </is>
      </c>
      <c r="L30" s="5" t="inlineStr">
        <is>
          <t>PBAT</t>
        </is>
      </c>
      <c r="M30" s="5" t="inlineStr">
        <is>
          <t>-</t>
        </is>
      </c>
      <c r="N30" s="5" t="inlineStr">
        <is>
          <t>Perz, 2016</t>
        </is>
      </c>
      <c r="O30" s="5" t="inlineStr">
        <is>
          <t>ALS54749.1</t>
        </is>
      </c>
      <c r="P30" s="5" t="inlineStr">
        <is>
          <t>ALS54749.1</t>
        </is>
      </c>
      <c r="Q30" s="5" t="inlineStr">
        <is>
          <t>-</t>
        </is>
      </c>
      <c r="R30" s="5" t="inlineStr">
        <is>
          <t>-</t>
        </is>
      </c>
      <c r="S30" s="5" t="inlineStr">
        <is>
          <t>esterase</t>
        </is>
      </c>
      <c r="T30" s="5" t="inlineStr">
        <is>
          <t>synthetic construct</t>
        </is>
      </c>
      <c r="U30" s="5">
        <f>FALSE()</f>
        <v/>
      </c>
      <c r="V30" s="5">
        <f>TRUE()</f>
        <v/>
      </c>
      <c r="W30" s="5" t="inlineStr">
        <is>
          <t>M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PNLTLANITQEDNQIQHA</t>
        </is>
      </c>
      <c r="X30" s="5" t="n">
        <v>1</v>
      </c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 ht="15" customHeight="1" s="12">
      <c r="A31" s="5" t="inlineStr">
        <is>
          <t>plasticome.v1_only</t>
        </is>
      </c>
      <c r="B31" s="5" t="inlineStr">
        <is>
          <t>MKRTRILCLIVMLAFSARAQVVSTVYGAVQGFTQDGVSAFLGIPYARPPVGQLRWAPPQPPLGWSGIRLAQSFPPACPQKDFSPGDTVGKAKGQEDCLYLNVWTPNLSGPLPVMVFIHGGGNQQGSTDQISGGARIYDGANLARRGGVVVVTIQYRLGALGYLVHPGLEAESAWGKAGNYGAMDHVAALQWVQQNIEAFGGDPNQVTLFGESAGAVNVGNLLATPAAKGLFHRAILQSGTPRLKGYNAARVEGLGFAQKLGASGSAAQQIAYLRSLPPDSLVSGDSSPISGNGTVQSVWQPVMDGYWFPQESLEAIQSGQHNRVPLLIGSNSDEMSLYVPQVVTPQMLQAFVQTSIPPVYRPQVLAIYPPGATNEQARASYVALVSDLQFTAPARRMADCVSKNQTEPVWRYFFTFRHTVPLLQPFGAYHGMELFYVFNTWEKATLGSGLLFRPADDSVQQNLLRYWTNFARTGNPNGTGLVGWPLYKSPFDCYIELKATPNGSQCGLRTVESNLWDQIVGFVPCKSTISAHETSSVSGVWMLYPNPTSDWLYLGGPTDAAVRVQLFDALGRLLWTGAAGEASFDLSGLPVGSYVARISGQGGIRTQWIVRKP</t>
        </is>
      </c>
      <c r="C31" s="5" t="n">
        <v>103</v>
      </c>
      <c r="D31" s="5" t="inlineStr">
        <is>
          <t>MCS7036334.1</t>
        </is>
      </c>
      <c r="E31" s="5" t="n">
        <v>23</v>
      </c>
      <c r="F31" s="5" t="inlineStr">
        <is>
          <t>Ipet</t>
        </is>
      </c>
      <c r="G31" s="5" t="inlineStr">
        <is>
          <t>Alpha/Beta Hydrolase</t>
        </is>
      </c>
      <c r="H31" s="5" t="inlineStr">
        <is>
          <t>3.40.50.1820</t>
        </is>
      </c>
      <c r="I31" s="5" t="inlineStr">
        <is>
          <t>Metagenome</t>
        </is>
      </c>
      <c r="J31" s="5" t="inlineStr">
        <is>
          <t>Metagenome</t>
        </is>
      </c>
      <c r="K31" s="5" t="inlineStr">
        <is>
          <t>Enzyme 101 like</t>
        </is>
      </c>
      <c r="L31" s="5" t="inlineStr">
        <is>
          <t>PET</t>
        </is>
      </c>
      <c r="M31" s="5" t="inlineStr">
        <is>
          <t>-</t>
        </is>
      </c>
      <c r="N31" s="5" t="inlineStr">
        <is>
          <t>Erickson, 2022</t>
        </is>
      </c>
      <c r="O31" s="5" t="inlineStr">
        <is>
          <t>YNPsite06_CeleraDRAFT_263770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carboxylesterase family protein</t>
        </is>
      </c>
      <c r="T31" s="5" t="inlineStr">
        <is>
          <t>Saprospiraceae bacterium</t>
        </is>
      </c>
      <c r="U31" s="5">
        <f>FALSE()</f>
        <v/>
      </c>
      <c r="V31" s="5">
        <f>TRUE()</f>
        <v/>
      </c>
      <c r="W31" s="5" t="inlineStr">
        <is>
          <t>MKRTRILCLIVMLAFSARAQVVSTVYGAVQGFTQDGVSAFLGIPYARPPVGQLRWAPPQPPLGWSGIRLAQSFPPACPQKDFSPGDTVGKAKGQEDCLYLNVWTPNLSGPLPVMVFIHGGGNQQGSTDQISGGARIYDGANLARRGGVVVVTIQYRLGALGYLVHPGLEAESAWGKAGNYGAMDHVAALQWVQQNIEAFGGDPNQVTLFGESAGAVNVGNLLATPAAKGLFHRAILQSGTPRLKGYNAARVEGLGFAQKLGASGSAAQQIAYLRSLPPDSLVSGDSSPISGNGTVQSVWQPVMDGYWFPQESLEAIQSGQHNRVPLLIGSNSDEMSLYVPQVVTPQMLQAFVQTSIPPVYRPQVLAIYPPGATNEQARASYVALVSDLQFTAPARRMADCVSKNQTEPVWRYFFTFRHTVPLLQPFGAYHGMELFYVFNTWEKATLGSGLLFRPADDSVQQNLLRYWTNFARTGNPNGTGLVGWPLYKSPFDCYIELKATPNGSQCGLRTVESNLWDQIVGFVPCKSTISAHETSSVSGVWMLYPNPTSDWLYLGGPTDAAVRVQLFDALGRLLWTGAAGEASFDLSGLPVGSYVARISGQGGIRTQWIVRKP</t>
        </is>
      </c>
      <c r="X31" s="5" t="n">
        <v>1</v>
      </c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 ht="15" customHeight="1" s="12">
      <c r="A32" s="5" t="inlineStr">
        <is>
          <t>plasticome.v1_only</t>
        </is>
      </c>
      <c r="B32" s="5" t="inlineStr">
        <is>
          <t>MAESRRQFLLGSALLGTAGAAALGARAASAAPSAAPPATETGGVHSGGHGGGVAGPTFRKGAVVDHAANGFDPTALLRDFDYGRVSQLPDGRVLREWVVAAADLDLEIAPGVRYPAWTFNGRIPGPTLRCQEGDLLRVQFVNTSAHPHTMHFHGIHPAEMDGIPDTGPGVIPSGGSFVYEFDAQPFGVHLYHCHVGPLAEHIARGLYGTFIVDPPEPRPPADEMVMVMHGYNTTFDGEGNQLYAVNGIPFHYMHEPVRVKRGELVRIYLVNALEYDPINTFHLHGNFFDYYPTGTRLEPSEYTDTIMQAQGQRGICEVRFPYPGRYMFHAHKTEFAELGWMGFFEVTD</t>
        </is>
      </c>
      <c r="C32" s="5" t="n">
        <v>202</v>
      </c>
      <c r="D32" s="5" t="inlineStr">
        <is>
          <t>AII11221.1</t>
        </is>
      </c>
      <c r="E32" s="5" t="n">
        <v>14</v>
      </c>
      <c r="F32" s="5" t="inlineStr">
        <is>
          <t>Lmc</t>
        </is>
      </c>
      <c r="G32" s="5" t="inlineStr">
        <is>
          <t>Cupredoxins - blue copper</t>
        </is>
      </c>
      <c r="H32" s="5" t="inlineStr">
        <is>
          <t>2.60.40.420</t>
        </is>
      </c>
      <c r="I32" s="5" t="inlineStr">
        <is>
          <t>Bacteria</t>
        </is>
      </c>
      <c r="J32" s="5" t="inlineStr">
        <is>
          <t>Rhodococcus opacus R7</t>
        </is>
      </c>
      <c r="K32" s="5" t="inlineStr">
        <is>
          <t>LMC031</t>
        </is>
      </c>
      <c r="L32" s="5" t="inlineStr">
        <is>
          <t>PE</t>
        </is>
      </c>
      <c r="M32" s="5" t="inlineStr">
        <is>
          <t>-</t>
        </is>
      </c>
      <c r="N32" s="5" t="inlineStr">
        <is>
          <t>Zampolli, 2023</t>
        </is>
      </c>
      <c r="O32" s="5" t="inlineStr">
        <is>
          <t>AII11221</t>
        </is>
      </c>
      <c r="P32" s="5" t="inlineStr">
        <is>
          <t>AII11221.1</t>
        </is>
      </c>
      <c r="Q32" s="5" t="inlineStr">
        <is>
          <t>-</t>
        </is>
      </c>
      <c r="R32" s="5" t="inlineStr">
        <is>
          <t>A0A076EZK2</t>
        </is>
      </c>
      <c r="S32" s="5" t="inlineStr">
        <is>
          <t>copper oxidase</t>
        </is>
      </c>
      <c r="T32" s="5" t="inlineStr">
        <is>
          <t>Rhodococcus opacus</t>
        </is>
      </c>
      <c r="U32" s="5">
        <f>FALSE()</f>
        <v/>
      </c>
      <c r="V32" s="5">
        <f>TRUE()</f>
        <v/>
      </c>
      <c r="W32" s="5" t="inlineStr">
        <is>
          <t>MAESRRQFLLGSALLGTAGAAALGARAASAAPSAAPPATETGGVHSGGHGGGVAGPTFRKGAVVDHAANGFDPTALLRDFDYGRVSQLPDGRVLREWVVAAADLDLEIAPGVRYPAWTFNGRIPGPTLRCQEGDLLRVQFVNTSAHPHTMHFHGIHPAEMDGIPDTGPGVIPSGGSFVYEFDAQPFGVHLYHCHVGPLAEHIARGLYGTFIVDPPEPRPPADEMVMVMHGYNTTFDGEGNQLYAVNGIPFHYMHEPVRVKRGELVRIYLVNALEYDPINTFHLHGNFFDYYPTGTRLEPSEYTDTIMQAQGQRGICEVRFPYPGRYMFHAHKTEFAELGWMGFFEVTD</t>
        </is>
      </c>
      <c r="X32" s="5" t="n">
        <v>1</v>
      </c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5" customHeight="1" s="12">
      <c r="A33" s="5" t="inlineStr">
        <is>
          <t>plasticome.v1_only</t>
        </is>
      </c>
      <c r="B33" s="5" t="inlineStr">
        <is>
          <t>SFLLAFTPFVPTATASASEKNYQPNINLEPIQNSEGNEYPIILVHGLGGFGRDELGGIIKMWGGIHDIEKKLREKGYKVYTAAVGPVSSNRDRAIELYYQIKGGTVDYGEAHAKKTGHSRYGRTYPGFYPEWGEINPKTGKPNKVHLIGHSMGGQTIRTLAQLLYEGDPEEQKISGNDISPLLSGEKQPWLHSVLSISSPHDGSTATYLVNDVIPIIQELVIGAAIFAGNIDQNLYDFKLDHWGIKKQPGESFHSYVQRVRNSPGWKTKDTANWDLKPEGAYELNRWVKAQPDVYYFSVSNTQSRRSLLTGHYVPDLFMNPFLHPTSYYIGSKTFRKSNFVLDKTWWENDGLVSVKAMKGPNIGSNDVIVEYDGTPRKGVWNHLGTMRQFDHLDIIGWGVRDVTGWYEDVARFLYSLPE</t>
        </is>
      </c>
      <c r="C33" s="5" t="n">
        <v>116</v>
      </c>
      <c r="D33" s="5" t="inlineStr">
        <is>
          <t>BAF57211.1</t>
        </is>
      </c>
      <c r="E33" s="5" t="n">
        <v>25</v>
      </c>
      <c r="F33" s="5" t="inlineStr">
        <is>
          <t>Ipet</t>
        </is>
      </c>
      <c r="G33" s="5" t="inlineStr">
        <is>
          <t>Alpha/Beta Hydrolase</t>
        </is>
      </c>
      <c r="H33" s="5" t="inlineStr">
        <is>
          <t>3.40.50.1820</t>
        </is>
      </c>
      <c r="I33" s="5" t="inlineStr">
        <is>
          <t>Metagenome</t>
        </is>
      </c>
      <c r="J33" s="5" t="inlineStr">
        <is>
          <t>Metagenome</t>
        </is>
      </c>
      <c r="K33" s="5" t="inlineStr">
        <is>
          <t>PlaM5 depolymerase</t>
        </is>
      </c>
      <c r="L33" s="5" t="inlineStr">
        <is>
          <t>PLA</t>
        </is>
      </c>
      <c r="M33" s="5" t="inlineStr">
        <is>
          <t>EC 3.1.1.1</t>
        </is>
      </c>
      <c r="N33" s="5" t="inlineStr">
        <is>
          <t>Mayumi, 2008</t>
        </is>
      </c>
      <c r="O33" s="5" t="inlineStr">
        <is>
          <t>A4UZ11</t>
        </is>
      </c>
      <c r="P33" s="5" t="inlineStr">
        <is>
          <t>BAF57211.1</t>
        </is>
      </c>
      <c r="Q33" s="5" t="inlineStr">
        <is>
          <t>-</t>
        </is>
      </c>
      <c r="R33" s="5" t="inlineStr">
        <is>
          <t>A4UZ11</t>
        </is>
      </c>
      <c r="S33" s="5" t="inlineStr">
        <is>
          <t>PLA depolymerase</t>
        </is>
      </c>
      <c r="T33" s="5" t="inlineStr">
        <is>
          <t>uncultured bacterium</t>
        </is>
      </c>
      <c r="U33" s="5">
        <f>TRUE()</f>
        <v/>
      </c>
      <c r="V33" s="5">
        <f>TRUE()</f>
        <v/>
      </c>
      <c r="W33" s="5" t="inlineStr">
        <is>
          <t>SFLLAFTPFVPTATASASEKNYQPNINLEPIQNSEGNEYPIILVHGLGGFGRDELGGIIKMWGGIHDIEKKLREKGYKVYTAAVGPVSSNRDRAIELYYQIKGGTVDYGEAHAKKTGHSRYGRTYPGFYPEWGEINPKTGKPNKVHLIGHSMGGQTIRTLAQLLYEGDPEEQKISGNDISPLLSGEKQPWLHSVLSISSPHDGSTATYLVNDVIPIIQELVIGAAIFAGNIDQNLYDFKLDHWGIKKQPGESFHSYVQRVRNSPGWKTKDTANWDLKPEGAYELNRWVKAQPDVYYFSVSNTQSRRSLLTGHYVPDLFMNPFLHPTSYYIGSKTFRKSNFVLDKTWWENDGLVSVKAMKGPNIGSNDVIVEYDGTPRKGVWNHLGTMRQFDHLDIIGWGVRDVTGWYEDVARFLYSLPE</t>
        </is>
      </c>
      <c r="X33" s="5" t="n">
        <v>1</v>
      </c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5" customHeight="1" s="12">
      <c r="A34" s="5" t="inlineStr">
        <is>
          <t>plasticome.v1_only</t>
        </is>
      </c>
      <c r="B34" s="5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  <c r="C34" s="5" t="n">
        <v>90</v>
      </c>
      <c r="D34" s="5" t="inlineStr">
        <is>
          <t>2FX5</t>
        </is>
      </c>
      <c r="E34" s="5" t="n">
        <v>20</v>
      </c>
      <c r="F34" s="5" t="inlineStr">
        <is>
          <t>Ipet</t>
        </is>
      </c>
      <c r="G34" s="5" t="inlineStr">
        <is>
          <t>Alpha/Beta Hydrolase</t>
        </is>
      </c>
      <c r="H34" s="5" t="inlineStr">
        <is>
          <t>3.40.50.1820</t>
        </is>
      </c>
      <c r="I34" s="5" t="inlineStr">
        <is>
          <t>Bacteria</t>
        </is>
      </c>
      <c r="J34" s="5" t="inlineStr">
        <is>
          <t>Halopseudomonas aestusnigri VGXO14</t>
        </is>
      </c>
      <c r="K34" s="5" t="inlineStr">
        <is>
          <t>PE-H; B7O88_11480</t>
        </is>
      </c>
      <c r="L34" s="5" t="inlineStr">
        <is>
          <t>PET</t>
        </is>
      </c>
      <c r="M34" s="5" t="inlineStr">
        <is>
          <t>EC 3.1.1.3</t>
        </is>
      </c>
      <c r="N34" s="5" t="inlineStr">
        <is>
          <t>Ronkvist, 2009</t>
        </is>
      </c>
      <c r="O34" s="5" t="inlineStr">
        <is>
          <t>N20M5AZM016</t>
        </is>
      </c>
      <c r="P34" s="5" t="inlineStr">
        <is>
          <t>2FX5</t>
        </is>
      </c>
      <c r="Q34" s="5" t="inlineStr">
        <is>
          <t>2FX5</t>
        </is>
      </c>
      <c r="R34" s="5" t="inlineStr">
        <is>
          <t>A4Y035</t>
        </is>
      </c>
      <c r="S34" s="5" t="inlineStr">
        <is>
          <t>A lipase</t>
        </is>
      </c>
      <c r="T34" s="5" t="inlineStr">
        <is>
          <t>-</t>
        </is>
      </c>
      <c r="U34" s="5">
        <f>FALSE()</f>
        <v/>
      </c>
      <c r="V34" s="5">
        <f>TRUE()</f>
        <v/>
      </c>
      <c r="W34" s="5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  <c r="X34" s="5" t="n">
        <v>1</v>
      </c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5" customHeight="1" s="12">
      <c r="A35" s="5" t="inlineStr">
        <is>
          <t>plasticome.v1_only</t>
        </is>
      </c>
      <c r="B35" s="5" t="inlineStr">
        <is>
          <t>AAVHGPDPTDALLEASRGPYATRQVDVSSLLVSGFGGGTIYYPTTTSEGTFGGVAIAPGYTADKSSLAWLAARLASHGFVVFNIDTLTRLDQPDSRGRQLLAALDYLTERSSVRGRVDASRLGVMGHSMGGGGTLEAVDGRPSLRAAVPLTPWNLDKTWPGVQTPTLIIGADNDTVAPVSSHAVPFYTSLPSSLDKAYLELNNATHFAPNTTNTTIGKYAVAWMKRFVDDDTRYDRFLCPGPSRGLTVEEYRSTCPF</t>
        </is>
      </c>
      <c r="C35" s="5" t="n">
        <v>64</v>
      </c>
      <c r="D35" s="5" t="inlineStr">
        <is>
          <t>WOR09923.1</t>
        </is>
      </c>
      <c r="E35" s="5" t="n">
        <v>1</v>
      </c>
      <c r="F35" s="5" t="inlineStr">
        <is>
          <t>Ipet</t>
        </is>
      </c>
      <c r="G35" s="5" t="inlineStr">
        <is>
          <t>Alpha/Beta Hydrolase</t>
        </is>
      </c>
      <c r="H35" s="5" t="inlineStr">
        <is>
          <t>3.40.50.1820</t>
        </is>
      </c>
      <c r="I35" s="5" t="inlineStr">
        <is>
          <t>Bacteria</t>
        </is>
      </c>
      <c r="J35" s="5" t="inlineStr">
        <is>
          <t>Microbispora sp.</t>
        </is>
      </c>
      <c r="K35" s="5" t="inlineStr">
        <is>
          <t>SIBER-1</t>
        </is>
      </c>
      <c r="L35" s="5" t="inlineStr">
        <is>
          <t>PET</t>
        </is>
      </c>
      <c r="M35" s="5" t="inlineStr">
        <is>
          <t>-</t>
        </is>
      </c>
      <c r="N35" s="5" t="inlineStr">
        <is>
          <t>Tiong, 2023</t>
        </is>
      </c>
      <c r="O35" s="5" t="inlineStr">
        <is>
          <t>WOR09923</t>
        </is>
      </c>
      <c r="P35" s="5" t="inlineStr">
        <is>
          <t>WOR09923</t>
        </is>
      </c>
      <c r="Q35" s="5" t="inlineStr">
        <is>
          <t>-</t>
        </is>
      </c>
      <c r="R35" s="5" t="inlineStr">
        <is>
          <t>-</t>
        </is>
      </c>
      <c r="S35" s="5" t="inlineStr">
        <is>
          <t>alpha/beta hydrolase</t>
        </is>
      </c>
      <c r="T35" s="5" t="inlineStr">
        <is>
          <t>synthetic construct</t>
        </is>
      </c>
      <c r="U35" s="5">
        <f>FALSE()</f>
        <v/>
      </c>
      <c r="V35" s="5">
        <f>TRUE()</f>
        <v/>
      </c>
      <c r="W35" s="5" t="inlineStr">
        <is>
          <t>AAVHGPDPTDALLEASRGPYATRQVDVSSLLVSGFGGGTIYYPTTTSEGTFGGVAIAPGYTADKSSLAWLAARLASHGFVVFNIDTLTRLDQPDSRGRQLLAALDYLTERSSVRGRVDASRLGVMGHSMGGGGTLEAVDGRPSLRAAVPLTPWNLDKTWPGVQTPTLIIGADNDTVAPVSSHAVPFYTSLPSSLDKAYLELNNATHFAPNTTNTTIGKYAVAWMKRFVDDDTRYDRFLCPGPSRGLTVEEYRSTCPF</t>
        </is>
      </c>
      <c r="X35" s="5" t="n">
        <v>1</v>
      </c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 ht="15" customHeight="1" s="12">
      <c r="A36" s="5" t="inlineStr">
        <is>
          <t>plasticome.v1_only</t>
        </is>
      </c>
      <c r="B36" s="5" t="inlineStr">
        <is>
          <t>KTFPTQEVYVNLELLAQLKDEIFAYQSYGDAVTKAIDNVAEKNSHNVPMSQLENLPDLAKKGQYNVIKKTVILERNQVRMTKEGFVSQYNFPVDFYLPDDATHTFPLVLISHGFGSVRENFTSLAQHLASYGFIVAIPQHIGSDLQYRQELLKGTLSSALSPMEYLARPADLSYIIDYLESFQEDNTLWQKRANLSQIGVIGDSLGGTTALQIAGAPLNINRLQTECSSDKVIINIALILQCQASYLPPAQYQVADSRVKAVIATHPLVSSIFASEGLSKIKIPTMITAGSQDIITPFVIEQIHPFLWLQNIPKYLIFFQPGTHFSSTQPSPEFT</t>
        </is>
      </c>
      <c r="C36" s="5" t="n">
        <v>133</v>
      </c>
      <c r="D36" s="5" t="inlineStr">
        <is>
          <t>RMD69273.1</t>
        </is>
      </c>
      <c r="E36" s="5" t="n">
        <v>35</v>
      </c>
      <c r="F36" s="5" t="inlineStr">
        <is>
          <t>Ipet</t>
        </is>
      </c>
      <c r="G36" s="5" t="inlineStr">
        <is>
          <t>Alpha/Beta Hydrolase</t>
        </is>
      </c>
      <c r="H36" s="5" t="inlineStr">
        <is>
          <t>3.40.50.1820</t>
        </is>
      </c>
      <c r="I36" s="5" t="inlineStr">
        <is>
          <t>Metagenome</t>
        </is>
      </c>
      <c r="J36" s="5" t="inlineStr">
        <is>
          <t>Metagenome</t>
        </is>
      </c>
      <c r="K36" s="5" t="inlineStr">
        <is>
          <t>Enzyme 305 like</t>
        </is>
      </c>
      <c r="L36" s="5" t="inlineStr">
        <is>
          <t>PET</t>
        </is>
      </c>
      <c r="M36" s="5" t="inlineStr">
        <is>
          <t>-</t>
        </is>
      </c>
      <c r="N36" s="5" t="inlineStr">
        <is>
          <t>Erickson, 2022</t>
        </is>
      </c>
      <c r="O36" s="5" t="inlineStr">
        <is>
          <t>GxsBSedJan11_10251181</t>
        </is>
      </c>
      <c r="P36" s="5" t="inlineStr">
        <is>
          <t>-</t>
        </is>
      </c>
      <c r="Q36" s="5" t="inlineStr">
        <is>
          <t>-</t>
        </is>
      </c>
      <c r="R36" s="5" t="inlineStr">
        <is>
          <t>-</t>
        </is>
      </c>
      <c r="S36" s="5" t="inlineStr">
        <is>
          <t>dienelactone hydrolase</t>
        </is>
      </c>
      <c r="T36" s="5" t="inlineStr">
        <is>
          <t>Cyanobacteria bacterium J149</t>
        </is>
      </c>
      <c r="U36" s="5">
        <f>FALSE()</f>
        <v/>
      </c>
      <c r="V36" s="5">
        <f>TRUE()</f>
        <v/>
      </c>
      <c r="W36" s="5" t="inlineStr">
        <is>
          <t>KTFPTQEVYVNLELLAQLKDEIFAYQSYGDAVTKAIDNVAEKNSHNVPMSQLENLPDLAKKGQYNVIKKTVILERNQVRMTKEGFVSQYNFPVDFYLPDDATHTFPLVLISHGFGSVRENFTSLAQHLASYGFIVAIPQHIGSDLQYRQELLKGTLSSALSPMEYLARPADLSYIIDYLESFQEDNTLWQKRANLSQIGVIGDSLGGTTALQIAGAPLNINRLQTECSSDKVIINIALILQCQASYLPPAQYQVADSRVKAVIATHPLVSSIFASEGLSKIKIPTMITAGSQDIITPFVIEQIHPFLWLQNIPKYLIFFQPGTHFSSTQPSPEFT</t>
        </is>
      </c>
      <c r="X36" s="5" t="n">
        <v>1</v>
      </c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 ht="15" customHeight="1" s="12">
      <c r="A37" s="5" t="inlineStr">
        <is>
          <t>retrieving_only</t>
        </is>
      </c>
      <c r="B37" s="5" t="inlineStr">
        <is>
          <t>WGAQNHFYETVLVDTDENPRETHLVGQIDGVFTDENYGEYEVTIYYPAINSGVSQPPDKSGAPYPAIIFAHGWLTSKELYTWIGNYCAAQGYVTLLFSVPDPTSLEAFRQSVTGITKSIDYLLVQNQGGLLSGLINTSRIGVMGHSMGAMAVLIATTEDSRIKAAVSLAPGYFGSTTKKYVEACKSIRVPIQFQAGSLDKICPPSAVETYYNAVRIPPKEIIVINGADHIQFSDAPATLWANITLEEQHETSRKYFIAWFNYYLRDDFNYYAYLFGSEARKDMENGILSSLEYVERFDC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inlineStr">
        <is>
          <t>GuaPA</t>
        </is>
      </c>
      <c r="Z37" s="5" t="n"/>
      <c r="AA37" s="5" t="inlineStr">
        <is>
          <t>Direct</t>
        </is>
      </c>
      <c r="AB37" s="5" t="n">
        <v>489</v>
      </c>
      <c r="AC37" s="5" t="inlineStr">
        <is>
          <t>10.1093/ismejo/wraf068</t>
        </is>
      </c>
      <c r="AD37" s="5" t="inlineStr">
        <is>
          <t>WGAQNHFYETVLVDTDENPRETHLVGQIDGVFTDENYGEYEVTIYYPAINSGVSQPPDKSGAPYPAIIFAHGWLTSKELYTWIGNYCAAQGYVTLLFSVPDPTSLEAFRQSVTGITKSIDYLLVQNQGGLLSGLINTSRIGVMGHSMGAMAVLIATTEDSRIKAAVSLAPGYFGSTTKKYVEACKSIRVPIQFQAGSLDKICPPSAVETYYNAVRIPPKEIIVINGADHIQFSDAPATLWANITLEEQHETSRKYFIAWFNYYLRDDFNYYAYLFGSEARKDMENGILSSLEYVERFDC</t>
        </is>
      </c>
      <c r="AE37" s="5" t="n"/>
      <c r="AF37" s="5" t="n"/>
      <c r="AG37" s="5" t="n"/>
      <c r="AH37" s="5" t="n"/>
      <c r="AI37" s="5" t="n"/>
      <c r="AJ37" s="5" t="n"/>
      <c r="AK37" s="5" t="n"/>
      <c r="AL37" s="5" t="n">
        <v>1</v>
      </c>
    </row>
    <row r="38" ht="15" customHeight="1" s="12">
      <c r="A38" s="5" t="inlineStr">
        <is>
          <t>retrieving_only</t>
        </is>
      </c>
      <c r="B38" s="5" t="inlineStr">
        <is>
          <t>MNFPRASRLMQAAVLGGLMAVSAAATAQTNPYARGPNPTAASLEASAGPFTVRSFTVSRPSGYGAGTVYYPTNAGGTVGAIAIVPGYTARQSSINWWGPRLASHGFVVITIDTNSTLDQPSSRSSQQMAALRQVASLNGTSSSPIYGKVDTARMGVMGWSMGGGGSLISAANNPSLKAAAPQAPWNSSTNFSSVTVPTLIFACENDSIAPVNSHALPFYNSMSRNAKQFLEINGGSHSCANSGNSNQALIGKKGVAWMKRFMDNDTRYSTFACQNPNSTRVSDFRTANC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inlineStr">
        <is>
          <t>APET-17</t>
        </is>
      </c>
      <c r="Z38" s="5" t="inlineStr">
        <is>
          <t>MBX3625601.1</t>
        </is>
      </c>
      <c r="AA38" s="5" t="inlineStr">
        <is>
          <t>Direct</t>
        </is>
      </c>
      <c r="AB38" s="5" t="n">
        <v>259</v>
      </c>
      <c r="AC38" s="5" t="inlineStr">
        <is>
          <t>10.1038/s41467-025-61599-z</t>
        </is>
      </c>
      <c r="AD38" s="5" t="inlineStr">
        <is>
          <t>MNFPRASRLMQAAVLGGLMAVSAAATAQTNPYARGPNPTAASLEASAGPFTVRSFTVSRPSGYGAGTVYYPTNAGGTVGAIAIVPGYTARQSSINWWGPRLASHGFVVITIDTNSTLDQPSSRSSQQMAALRQVASLNGTSSSPIYGKVDTARMGVMGWSMGGGGSLISAANNPSLKAAAPQAPWNSSTNFSSVTVPTLIFACENDSIAPVNSHALPFYNSMSRNAKQFLEINGGSHSCANSGNSNQALIGKKGVAWMKRFMDNDTRYSTFACQNPNSTRVSDFRTANCS</t>
        </is>
      </c>
      <c r="AE38" s="5" t="inlineStr">
        <is>
          <t>Rhizobacter sp.</t>
        </is>
      </c>
      <c r="AF38" s="5" t="n">
        <v>1909292</v>
      </c>
      <c r="AG38" s="5" t="inlineStr">
        <is>
          <t>supp_unavailable</t>
        </is>
      </c>
      <c r="AH38" s="5" t="inlineStr">
        <is>
          <t>ncbi</t>
        </is>
      </c>
      <c r="AI38" s="5" t="n"/>
      <c r="AJ38" s="5" t="n"/>
      <c r="AK38" s="5" t="n"/>
      <c r="AL38" s="5" t="n">
        <v>1</v>
      </c>
    </row>
    <row r="39" ht="15" customHeight="1" s="12">
      <c r="A39" s="5" t="inlineStr">
        <is>
          <t>retrieving_only</t>
        </is>
      </c>
      <c r="B39" s="5" t="inlineStr">
        <is>
          <t>MRVLAMTLALVASTLATPTALAAPPDYGLPGSYPVAYSDVTAVAGGRSVPARVHYPATTSGTNQPVATGRFPVIAFGHGFFQATSKYTSTSTHLASWGFVVVVPTTQGGLSPSHGAFADDLNTGLTWLVAQDGTTGSRFRDHITTTALGVSGHSMGGGAAVLAAARNPKIKAVSTYAAAETNPSAKAAAATLAAPAQFLAGSQDTITPVGDHQRPMFTAKPPARQLRTITGGFHCGFMDSSGLFCDNGSITRAAQLTASKRVMTSWFRHYLSGDTAARDLVWGQPARTDPAVVFEGTE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inlineStr">
        <is>
          <t>APET-5</t>
        </is>
      </c>
      <c r="Z39" s="5" t="inlineStr">
        <is>
          <t>WP_218920366.1</t>
        </is>
      </c>
      <c r="AA39" s="5" t="inlineStr">
        <is>
          <t>Direct</t>
        </is>
      </c>
      <c r="AB39" s="5" t="n">
        <v>256</v>
      </c>
      <c r="AC39" s="5" t="inlineStr">
        <is>
          <t>10.1038/s41467-025-61599-z</t>
        </is>
      </c>
      <c r="AD39" s="5" t="inlineStr">
        <is>
          <t>MRVLAMTLALVASTLATPTALAAPPDYGLPGSYPVAYSDVTAVAGGRSVPARVHYPATTSGTNQPVATGRFPVIAFGHGFFQATSKYTSTSTHLASWGFVVVVPTTQGGLSPSHGAFADDLNTGLTWLVAQDGTTGSRFRDHITTTALGVSGHSMGGGAAVLAAARNPKIKAVSTYAAAETNPSAKAAAATLAAPAQFLAGSQDTITPVGDHQRPMFTAKPPARQLRTITGGFHCGFMDSSGLFCDNGSITRAAQLTASKRVMTSWFRHYLSGDTAARDLVWGQPARTDPAVVFEGTE</t>
        </is>
      </c>
      <c r="AE39" s="5" t="inlineStr">
        <is>
          <t>Lentzea guizhouensis</t>
        </is>
      </c>
      <c r="AF39" s="5" t="n">
        <v>1586287</v>
      </c>
      <c r="AG39" s="5" t="inlineStr">
        <is>
          <t>supp_unavailable</t>
        </is>
      </c>
      <c r="AH39" s="5" t="inlineStr">
        <is>
          <t>ncbi</t>
        </is>
      </c>
      <c r="AI39" s="5" t="n"/>
      <c r="AJ39" s="5" t="n"/>
      <c r="AK39" s="5" t="n"/>
      <c r="AL39" s="5" t="n">
        <v>1</v>
      </c>
    </row>
    <row r="40" ht="15" customHeight="1" s="12">
      <c r="A40" s="5" t="inlineStr">
        <is>
          <t>retrieving_only</t>
        </is>
      </c>
      <c r="B40" s="5" t="inlineStr">
        <is>
          <t>MSALSSALRRVALVGAATLATTLVPAGVAGAVTKGPDPSAAEVAKVTGSYAVTETKVDDAASTKFGPATVYAPKGAPGETFGAIAISPGFLAEQWTLTWLAQRLSSFGFVTIVFTPNSIFDQPDARSRALLDALEYLKTQSTAKALIDPSRLGVLGHSMGGGGALEAASRDLTLKAAVALLPWDLTKNFSGVRTPTLVIGAKPDFIAPVASHAKPFYASLSTSLPRAYLELNIGHAQPALVPTTEVSRAAVNWFKRFLDDDPRYTKTLCPAVAGVNASTVTAYQSSCGQGPL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inlineStr">
        <is>
          <t>APET-20</t>
        </is>
      </c>
      <c r="Z40" s="5" t="inlineStr">
        <is>
          <t>MBO9532528.1</t>
        </is>
      </c>
      <c r="AA40" s="5" t="inlineStr">
        <is>
          <t>Direct</t>
        </is>
      </c>
      <c r="AB40" s="5" t="n">
        <v>261</v>
      </c>
      <c r="AC40" s="5" t="inlineStr">
        <is>
          <t>10.1038/s41467-025-61599-z</t>
        </is>
      </c>
      <c r="AD40" s="5" t="inlineStr">
        <is>
          <t>MSALSSALRRVALVGAATLATTLVPAGVAGAVTKGPDPSAAEVAKVTGSYAVTETKVDDAASTKFGPATVYAPKGAPGETFGAIAISPGFLAEQWTLTWLAQRLSSFGFVTIVFTPNSIFDQPDARSRALLDALEYLKTQSTAKALIDPSRLGVLGHSMGGGGALEAASRDLTLKAAVALLPWDLTKNFSGVRTPTLVIGAKPDFIAPVASHAKPFYASLSTSLPRAYLELNIGHAQPALVPTTEVSRAAVNWFKRFLDDDPRYTKTLCPAVAGVNASTVTAYQSSCGQGPLS</t>
        </is>
      </c>
      <c r="AE40" s="5" t="inlineStr">
        <is>
          <t>Solirubrobacteraceae bacterium</t>
        </is>
      </c>
      <c r="AF40" s="5" t="n">
        <v>2586742</v>
      </c>
      <c r="AG40" s="5" t="inlineStr">
        <is>
          <t>supp_unavailable</t>
        </is>
      </c>
      <c r="AH40" s="5" t="inlineStr">
        <is>
          <t>ncbi</t>
        </is>
      </c>
      <c r="AI40" s="5" t="n"/>
      <c r="AJ40" s="5" t="n"/>
      <c r="AK40" s="5" t="n"/>
      <c r="AL40" s="5" t="n">
        <v>1</v>
      </c>
    </row>
    <row r="41" ht="15" customHeight="1" s="12">
      <c r="A41" s="5" t="inlineStr">
        <is>
          <t>retrieving_only</t>
        </is>
      </c>
      <c r="B41" s="5" t="inlineStr">
        <is>
          <t>MNAVGPTTPPTTTPPTTPAGDNPYQRGPDPTVASVAAQYGPFATAQITVPPGNGFNGGFIYYPTDSSHTYGAVAIVPGYTALFADEEAWMGPRLASFGFVVIGVETNSRTDYDTARGTQLLAALDYLTNSSAVRDRVDRNRLAVIGHSMGGGGALYAATQRPSLKAAIGLAPFKPSGNLASDTVPTMIIGGINDTTVTPSYLDGLYPTLPAATPGAYLQLANADHLYFTRPNDIEMRSQIEWLKIFVDNDTRYTPFLCPSIKDTTGIVRSNVKCSTIPGGGSTSPPTTTPPPAGSNRIVGAQSGRCVDVPGASQTNGTRVQLYDCNGQPNQAWTLTASKQLTVYGSRCLDAAGSGNGSAVQIYSCNGQANQQWNVNANGTITGVQSGRCLDVWGTGNGQQVQIYDCNGQANQRFGLS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inlineStr">
        <is>
          <t>ESM052</t>
        </is>
      </c>
      <c r="Z41" s="5" t="inlineStr">
        <is>
          <t>WP_203777396.1</t>
        </is>
      </c>
      <c r="AA41" s="5" t="inlineStr">
        <is>
          <t>Direct</t>
        </is>
      </c>
      <c r="AB41" s="5" t="n">
        <v>418</v>
      </c>
      <c r="AC41" s="5" t="inlineStr">
        <is>
          <t>10.1021/acscatal.5c03460</t>
        </is>
      </c>
      <c r="AD41" s="5" t="inlineStr">
        <is>
          <t>MNAVGPTTPPTTTPPTTPAGDNPYQRGPDPTVASVAAQYGPFATAQITVPPGNGFNGGFIYYPTDSSHTYGAVAIVPGYTALFADEEAWMGPRLASFGFVVIGVETNSRTDYDTARGTQLLAALDYLTNSSAVRDRVDRNRLAVIGHSMGGGGALYAATQRPSLKAAIGLAPFKPSGNLASDTVPTMIIGGINDTTVTPSYLDGLYPTLPAATPGAYLQLANADHLYFTRPNDIEMRSQIEWLKIFVDNDTRYTPFLCPSIKDTTGIVRSNVKCSTIPGGGSTSPPTTTPPPAGSNRIVGAQSGRCVDVPGASQTNGTRVQLYDCNGQPNQAWTLTASKQLTVYGSRCLDAAGSGNGSAVQIYSCNGQANQQWNVNANGTITGVQSGRCLDVWGTGNGQQVQIYDCNGQANQRFGLS</t>
        </is>
      </c>
      <c r="AE41" s="5" t="inlineStr">
        <is>
          <t>Paractinoplanes deccanensis</t>
        </is>
      </c>
      <c r="AF41" s="5" t="n">
        <v>113561</v>
      </c>
      <c r="AG41" s="5" t="inlineStr">
        <is>
          <t>seq_in_supp</t>
        </is>
      </c>
      <c r="AH41" s="5" t="inlineStr">
        <is>
          <t>ncbi</t>
        </is>
      </c>
      <c r="AI41" s="5" t="n"/>
      <c r="AJ41" s="5" t="n"/>
      <c r="AK41" s="5" t="n"/>
      <c r="AL41" s="5" t="n">
        <v>1</v>
      </c>
    </row>
    <row r="42" ht="15" customHeight="1" s="12">
      <c r="A42" s="5" t="inlineStr">
        <is>
          <t>retrieving_only</t>
        </is>
      </c>
      <c r="B42" s="5" t="inlineStr">
        <is>
          <t>MSALTSPPTTSGSREKISRRRGWRAKTAGVVLAALALTTAVAAPAPAAANPYERGPDPTTASIEASRGSFATSTVTVSRLAVSGFGGGTIYYPTTTTAGTFGAISIAPGFTATQSSMAWLGPRLASQGFVVFTIDTITTSDQPDSRGRQLLASLDYLTQQSSVRSRIDSSRLGVVGHSMGGGGTLEAARSRPSLQAAVPLTGWNLTKNWSTLRVPTLVVGAQSDTIAPVASHSIPFYTSLPSTLDRAYLELRGASHFAPNTSNTTIAKYTLSWLKRFIDNDTRYEQFLCPIPSSSLSISDYRGNCPHNG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inlineStr">
        <is>
          <t>ESM167</t>
        </is>
      </c>
      <c r="Z42" s="5" t="inlineStr">
        <is>
          <t>WP_091317053.1</t>
        </is>
      </c>
      <c r="AA42" s="5" t="inlineStr">
        <is>
          <t>Direct</t>
        </is>
      </c>
      <c r="AB42" s="5" t="n">
        <v>448</v>
      </c>
      <c r="AC42" s="5" t="inlineStr">
        <is>
          <t>10.1021/acscatal.5c03460</t>
        </is>
      </c>
      <c r="AD42" s="5" t="inlineStr">
        <is>
          <t>MSALTSPPTTSGSREKISRRRGWRAKTAGVVLAALALTTAVAAPAPAAANPYERGPDPTTASIEASRGSFATSTVTVSRLAVSGFGGGTIYYPTTTTAGTFGAISIAPGFTATQSSMAWLGPRLASQGFVVFTIDTITTSDQPDSRGRQLLASLDYLTQQSSVRSRIDSSRLGVVGHSMGGGGTLEAARSRPSLQAAVPLTGWNLTKNWSTLRVPTLVVGAQSDTIAPVASHSIPFYTSLPSTLDRAYLELRGASHFAPNTSNTTIAKYTLSWLKRFIDNDTRYEQFLCPIPSSSLSISDYRGNCPHNG</t>
        </is>
      </c>
      <c r="AE42" s="5" t="inlineStr">
        <is>
          <t>Amycolatopsis tolypomycina</t>
        </is>
      </c>
      <c r="AF42" s="5" t="n">
        <v>208445</v>
      </c>
      <c r="AG42" s="5" t="inlineStr">
        <is>
          <t>seq_in_supp</t>
        </is>
      </c>
      <c r="AH42" s="5" t="inlineStr">
        <is>
          <t>ncbi</t>
        </is>
      </c>
      <c r="AI42" s="5" t="n"/>
      <c r="AJ42" s="5" t="n"/>
      <c r="AK42" s="5" t="n"/>
      <c r="AL42" s="5" t="n">
        <v>1</v>
      </c>
    </row>
    <row r="43" ht="15" customHeight="1" s="12">
      <c r="A43" s="5" t="inlineStr">
        <is>
          <t>retrieving_only</t>
        </is>
      </c>
      <c r="B43" s="5" t="inlineStr">
        <is>
          <t>MNAPLFKLAALTLGLSLASVVLANNPGGGGGTAPDTGTGFPGVSNFSASGSFATTSGSAGASCTVFRPSTLGANNRKHPIIVWGNGTTASPNTYASLLQHWASHGFVVIAANTSNAGTGQEMLGCVDYLTTQNNRSTGTYAGKLDLNRIGAAGHSQGGGGTIMAGQDYRIKVTAPFQPYTIGLGHNSSSQSNQNGPMFLMTGSIDTIASPTLNALPVYTRANVPVFWGELSGASHFEPVGNAGDFRGPATAWFRYHLMDDASAEDTFYGSNCDLCTDRDWDVRRKGIN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inlineStr">
        <is>
          <t>APET-27</t>
        </is>
      </c>
      <c r="Z43" s="5" t="inlineStr">
        <is>
          <t>WP_104739856.1</t>
        </is>
      </c>
      <c r="AA43" s="5" t="inlineStr">
        <is>
          <t>Direct</t>
        </is>
      </c>
      <c r="AB43" s="5" t="n">
        <v>266</v>
      </c>
      <c r="AC43" s="5" t="inlineStr">
        <is>
          <t>10.1038/s41467-025-61599-z</t>
        </is>
      </c>
      <c r="AD43" s="5" t="inlineStr">
        <is>
          <t>MNAPLFKLAALTLGLSLASVVLANNPGGGGGTAPDTGTGFPGVSNFSASGSFATTSGSAGASCTVFRPSTLGANNRKHPIIVWGNGTTASPNTYASLLQHWASHGFVVIAANTSNAGTGQEMLGCVDYLTTQNNRSTGTYAGKLDLNRIGAAGHSQGGGGTIMAGQDYRIKVTAPFQPYTIGLGHNSSSQSNQNGPMFLMTGSIDTIASPTLNALPVYTRANVPVFWGELSGASHFEPVGNAGDFRGPATAWFRYHLMDDASAEDTFYGSNCDLCTDRDWDVRRKGIN</t>
        </is>
      </c>
      <c r="AE43" s="5" t="inlineStr">
        <is>
          <t>Halopseudomonas oceani</t>
        </is>
      </c>
      <c r="AF43" s="5" t="n">
        <v>1708783</v>
      </c>
      <c r="AG43" s="5" t="inlineStr">
        <is>
          <t>supp_unavailable</t>
        </is>
      </c>
      <c r="AH43" s="5" t="inlineStr">
        <is>
          <t>ncbi</t>
        </is>
      </c>
      <c r="AI43" s="5" t="n"/>
      <c r="AJ43" s="5" t="n"/>
      <c r="AK43" s="5" t="n"/>
      <c r="AL43" s="5" t="n">
        <v>1</v>
      </c>
    </row>
    <row r="44" ht="15" customHeight="1" s="12">
      <c r="A44" s="5" t="inlineStr">
        <is>
          <t>retrieving_only</t>
        </is>
      </c>
      <c r="B44" s="5" t="inlineStr">
        <is>
          <t>MSAPTSPPTTSGLGEKISRRRGWRAKAAGVVLAALALTTAVAAPAPAAANPYERGPDPTDSSIEATRGSFATSTDTVSRLAVSGFGGGTIYYPTTTTAGTFGAISIAPGFTATQSSIAWLGPRLASQGFVVFTIDTLTTSDQPDSRGRQLLASLDYLTQQSSVRSRIDSSRLGVVGHSMGGGGTLEAARSRPSLQAAVPLTGWNLTKNWSTLRVPTLVVGAQSDTIAPVASHSIPFYTSLPSTLDRAYLELRGASHFAPNSSNTTIAKYTLSWLKRFIDNDTRYEQFLCPIPSTSLSISDYRGNCPHNG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>
        <v>554</v>
      </c>
      <c r="Z44" s="5" t="inlineStr">
        <is>
          <t>WP_086849962.1</t>
        </is>
      </c>
      <c r="AA44" s="5" t="inlineStr">
        <is>
          <t>Direct</t>
        </is>
      </c>
      <c r="AB44" s="5" t="n">
        <v>304</v>
      </c>
      <c r="AC44" s="5" t="inlineStr">
        <is>
          <t>10.1126/science.adp5637</t>
        </is>
      </c>
      <c r="AD44" s="5" t="inlineStr">
        <is>
          <t>MSAPTSPPTTSGLGEKISRRRGWRAKAAGVVLAALALTTAVAAPAPAAANPYERGPDPTDSSIEATRGSFATSTDTVSRLAVSGFGGGTIYYPTTTTAGTFGAISIAPGFTATQSSIAWLGPRLASQGFVVFTIDTLTTSDQPDSRGRQLLASLDYLTQQSSVRSRIDSSRLGVVGHSMGGGGTLEAARSRPSLQAAVPLTGWNLTKNWSTLRVPTLVVGAQSDTIAPVASHSIPFYTSLPSTLDRAYLELRGASHFAPNSSNTTIAKYTLSWLKRFIDNDTRYEQFLCPIPSTSLSISDYRGNCPHNG</t>
        </is>
      </c>
      <c r="AE44" s="5" t="inlineStr">
        <is>
          <t>Amycolatopsis kentuckyensis</t>
        </is>
      </c>
      <c r="AF44" s="5" t="n">
        <v>218823</v>
      </c>
      <c r="AG44" s="5" t="inlineStr">
        <is>
          <t>supp_unavailable</t>
        </is>
      </c>
      <c r="AH44" s="5" t="inlineStr">
        <is>
          <t>ncbi</t>
        </is>
      </c>
      <c r="AI44" s="5" t="n"/>
      <c r="AJ44" s="5" t="n"/>
      <c r="AK44" s="5" t="n"/>
      <c r="AL44" s="5" t="n">
        <v>1</v>
      </c>
    </row>
    <row r="45" ht="15" customHeight="1" s="12">
      <c r="A45" s="5" t="inlineStr">
        <is>
          <t>retrieving_only</t>
        </is>
      </c>
      <c r="B45" s="5" t="inlineStr">
        <is>
          <t>MNAKLSLGKTLLLAASLLVSATAFSATGPSSPCSNCTRGPDPTVASLKSATGPYTTAKFSVSGYLKGFGDSTVYYPTNASGKMGAIAVIPGYVSYEDSIKWWGPRLASHGFVVMTMNTSTIYDQPDSRATQLSKALDYMIAQSGSSSSPIYNKVDSTRLGVIGWSMGGGGTLKLSTQRSINAIIPQAPYYAGSNSFNTIKTPALILACGADAVAPVGVHASPFYNRIPGTTPKAYLEIYGGSHFCANSGYPNEDLLGMYGIAWMKRFIDFDSRYSKFLCGPNHTADLNISEYRQNCN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inlineStr">
        <is>
          <t>DP078</t>
        </is>
      </c>
      <c r="Z45" s="5" t="inlineStr">
        <is>
          <t>WP_184682765.1</t>
        </is>
      </c>
      <c r="AA45" s="5" t="inlineStr">
        <is>
          <t>Direct</t>
        </is>
      </c>
      <c r="AB45" s="5" t="n">
        <v>398</v>
      </c>
      <c r="AC45" s="5" t="inlineStr">
        <is>
          <t>10.1021/acscatal.5c03460</t>
        </is>
      </c>
      <c r="AD45" s="5" t="inlineStr">
        <is>
          <t>MNAKLSLGKTLLLAASLLVSATAFSATGPSSPCSNCTRGPDPTVASLKSATGPYTTAKFSVSGYLKGFGDSTVYYPTNASGKMGAIAVIPGYVSYEDSIKWWGPRLASHGFVVMTMNTSTIYDQPDSRATQLSKALDYMIAQSGSSSSPIYNKVDSTRLGVIGWSMGGGGTLKLSTQRSINAIIPQAPYYAGSNSFNTIKTPALILACGADAVAPVGVHASPFYNRIPGTTPKAYLEIYGGSHFCANSGYPNEDLLGMYGIAWMKRFIDFDSRYSKFLCGPNHTADLNISEYRQNCNY</t>
        </is>
      </c>
      <c r="AE45" s="5" t="inlineStr">
        <is>
          <t>Pseudomonas fluvialis</t>
        </is>
      </c>
      <c r="AF45" s="5" t="n">
        <v>1793966</v>
      </c>
      <c r="AG45" s="5" t="inlineStr">
        <is>
          <t>seq_in_supp</t>
        </is>
      </c>
      <c r="AH45" s="5" t="inlineStr">
        <is>
          <t>ncbi</t>
        </is>
      </c>
      <c r="AI45" s="5" t="n"/>
      <c r="AJ45" s="5" t="n"/>
      <c r="AK45" s="5" t="n"/>
      <c r="AL45" s="5" t="n">
        <v>1</v>
      </c>
    </row>
    <row r="46" ht="15" customHeight="1" s="12">
      <c r="A46" s="5" t="inlineStr">
        <is>
          <t>retrieving_only</t>
        </is>
      </c>
      <c r="B46" s="5" t="inlineStr">
        <is>
          <t>MRIRQALVAFCAAIAMVVAGPSYASALDSPYQRGPDPTEASVKAIAGPFAVDQVKATGHTGFGSGTIFYPKDEKGTFGTIAVSPGFISPEGLVHWYAKTLASHGFVVMAMGTFTVADPPPSRGDQLRAALDYMKTKSPVKDKVDPTRLGLSGHSMGGGGTLDAASKMPDLKAAVPLAPWYLTGGPVIPKVKAPTLVVGANIDFVAPMAIFATPFYKALTSPNKALLTLPGDHMTPFLLANPTLTKFAVSWFKRFLDDDTRYDQFLCPNPASYEGTCPLT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inlineStr">
        <is>
          <t>APET-19</t>
        </is>
      </c>
      <c r="Z46" s="5" t="inlineStr">
        <is>
          <t>WP_116023875.1</t>
        </is>
      </c>
      <c r="AA46" s="5" t="inlineStr">
        <is>
          <t>Direct</t>
        </is>
      </c>
      <c r="AB46" s="5" t="n">
        <v>260</v>
      </c>
      <c r="AC46" s="5" t="inlineStr">
        <is>
          <t>10.1038/s41467-025-61599-z</t>
        </is>
      </c>
      <c r="AD46" s="5" t="inlineStr">
        <is>
          <t>MRIRQALVAFCAAIAMVVAGPSYASALDSPYQRGPDPTEASVKAIAGPFAVDQVKATGHTGFGSGTIFYPKDEKGTFGTIAVSPGFISPEGLVHWYAKTLASHGFVVMAMGTFTVADPPPSRGDQLRAALDYMKTKSPVKDKVDPTRLGLSGHSMGGGGTLDAASKMPDLKAAVPLAPWYLTGGPVIPKVKAPTLVVGANIDFVAPMAIFATPFYKALTSPNKALLTLPGDHMTPFLLANPTLTKFAVSWFKRFLDDDTRYDQFLCPNPASYEGTCPLT</t>
        </is>
      </c>
      <c r="AE46" s="5" t="inlineStr">
        <is>
          <t>Thermomonospora umbrina</t>
        </is>
      </c>
      <c r="AF46" s="5" t="n">
        <v>111806</v>
      </c>
      <c r="AG46" s="5" t="inlineStr">
        <is>
          <t>supp_unavailable</t>
        </is>
      </c>
      <c r="AH46" s="5" t="inlineStr">
        <is>
          <t>ncbi</t>
        </is>
      </c>
      <c r="AI46" s="5" t="n"/>
      <c r="AJ46" s="5" t="n"/>
      <c r="AK46" s="5" t="n"/>
      <c r="AL46" s="5" t="n">
        <v>1</v>
      </c>
    </row>
    <row r="47" ht="15" customHeight="1" s="12">
      <c r="A47" s="5" t="inlineStr">
        <is>
          <t>retrieving_only</t>
        </is>
      </c>
      <c r="B47" s="5" t="inlineStr">
        <is>
          <t>MNAITDVGGIRVGHHQRLDPDASLGAGWACGVTVVLTAPGTVGAVDCRGGAPGTRETDLLDPANTVRFVDAVLLAGGSAYGLAAADGVMRWLEEHDRGVAMDGGVVPIVPGAVIFDLPVGGWQCRPTAEFGYLACAAAARDDDAPAVGTVGAGVGARAGALKGGVGTASRTLPSGVTVGALAVVNSAGEVVDRATGLPWMTDLVEQFGLRPPPAEQIEAFAALPSPSNPLDNPLNTVIAVVATDAALSAAACRRVAVAAHDGLARSIRPAHTPVDGDTVFVLATGAVEVPPEADTPAAFSPETRLATEVGVAAADCLAHAVLGGVLAADSVAGIPSYRDVLPGALGR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inlineStr">
        <is>
          <t>Nyl84</t>
        </is>
      </c>
      <c r="Z47" s="5" t="inlineStr">
        <is>
          <t>WP_010949597.1</t>
        </is>
      </c>
      <c r="AA47" s="5" t="inlineStr">
        <is>
          <t>Direct</t>
        </is>
      </c>
      <c r="AB47" s="5" t="n">
        <v>377</v>
      </c>
      <c r="AC47" s="5" t="inlineStr">
        <is>
          <t>10.1016/j.checat.2025.101418</t>
        </is>
      </c>
      <c r="AD47" s="5" t="inlineStr">
        <is>
          <t>MNAITDVGGIRVGHHQRLDPDASLGAGWACGVTVVLTAPGTVGAVDCRGGAPGTRETDLLDPANTVRFVDAVLLAGGSAYGLAAADGVMRWLEEHDRGVAMDGGVVPIVPGAVIFDLPVGGWQCRPTAEFGYLACAAAARDDDAPAVGTVGAGVGARAGALKGGVGTASRTLPSGVTVGALAVVNSAGEVVDRATGLPWMTDLVEQFGLRPPPAEQIEAFAALPSPSNPLDNPLNTVIAVVATDAALSAAACRRVAVAAHDGLARSIRPAHTPVDGDTVFVLATGAVEVPPEADTPAAFSPETRLATEVGVAAADCLAHAVLGGVLAADSVAGIPSYRDVLPGALGR</t>
        </is>
      </c>
      <c r="AE47" s="5" t="inlineStr">
        <is>
          <t>Mycobacterium avium subsp. paratuberculosis</t>
        </is>
      </c>
      <c r="AF47" s="5" t="n">
        <v>1770</v>
      </c>
      <c r="AG47" s="5" t="inlineStr">
        <is>
          <t>supp_unavailable</t>
        </is>
      </c>
      <c r="AH47" s="5" t="inlineStr">
        <is>
          <t>ncbi</t>
        </is>
      </c>
      <c r="AI47" s="5" t="n"/>
      <c r="AJ47" s="5" t="n"/>
      <c r="AK47" s="5" t="n"/>
      <c r="AL47" s="5" t="n">
        <v>1</v>
      </c>
    </row>
    <row r="48" ht="15" customHeight="1" s="12">
      <c r="A48" s="5" t="inlineStr">
        <is>
          <t>retrieving_only</t>
        </is>
      </c>
      <c r="B48" s="5" t="inlineStr">
        <is>
          <t>MMRRTTSGFLAALIAATVSAPLPAVAESETTAAAVSSRYYEETGPHAVTVEQGGPDHTLYYPSDLGAGGTQHPVVIWGNGTGATPETYDEGLRHFASWGFVVAAANTTQAGSGKEMLAGARFLIEEDQRSGSVFYGKIDETRIGAAGHSQGGGGAIAAGADPIVDTTIPIQPGPQGTVGDLHGPAFFISGQFDWIVPSSYVYSRYLGADHVPAVFGELRGADHFFPGDTRLRLIGATTAWFRFHLMADENARGIFFGPSSTCGICTDTEAWSKVDRNAKAQAIPG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inlineStr">
        <is>
          <t>APET-25</t>
        </is>
      </c>
      <c r="Z48" s="5" t="inlineStr">
        <is>
          <t>MPZ00478.1</t>
        </is>
      </c>
      <c r="AA48" s="5" t="inlineStr">
        <is>
          <t>Direct</t>
        </is>
      </c>
      <c r="AB48" s="5" t="n">
        <v>264</v>
      </c>
      <c r="AC48" s="5" t="inlineStr">
        <is>
          <t>10.1038/s41467-025-61599-z</t>
        </is>
      </c>
      <c r="AD48" s="5" t="inlineStr">
        <is>
          <t>MMRRTTSGFLAALIAATVSAPLPAVAESETTAAAVSSRYYEETGPHAVTVEQGGPDHTLYYPSDLGAGGTQHPVVIWGNGTGATPETYDEGLRHFASWGFVVAAANTTQAGSGKEMLAGARFLIEEDQRSGSVFYGKIDETRIGAAGHSQGGGGAIAAGADPIVDTTIPIQPGPQGTVGDLHGPAFFISGQFDWIVPSSYVYSRYLGADHVPAVFGELRGADHFFPGDTRLRLIGATTAWFRFHLMADENARGIFFGPSSTCGICTDTEAWSKVDRNAKAQAIPG</t>
        </is>
      </c>
      <c r="AE48" s="5" t="inlineStr">
        <is>
          <t>Actinophytocola sp.</t>
        </is>
      </c>
      <c r="AF48" s="5" t="n">
        <v>1872138</v>
      </c>
      <c r="AG48" s="5" t="inlineStr">
        <is>
          <t>supp_unavailable</t>
        </is>
      </c>
      <c r="AH48" s="5" t="inlineStr">
        <is>
          <t>ncbi</t>
        </is>
      </c>
      <c r="AI48" s="5" t="n"/>
      <c r="AJ48" s="5" t="n"/>
      <c r="AK48" s="5" t="n"/>
      <c r="AL48" s="5" t="n">
        <v>1</v>
      </c>
    </row>
    <row r="49" ht="15" customHeight="1" s="12">
      <c r="A49" s="5" t="inlineStr">
        <is>
          <t>retrieving_only</t>
        </is>
      </c>
      <c r="B49" s="5" t="inlineStr">
        <is>
          <t>MMRKKSFWLGMLTAFMLVFTMAFSDSASAAQPAKNVEKDYIVGFKSGVKTASVKKDIIKESGGKVDKQFRIINAAKAKLDKEALKEVKNDPDVAYVEEDHVAHALAQTVPYGIPLIKADKVQAQGFKGANVKVAVLDTGIQASHPDLNVVGGASFVAGEAYNTDGNGHGTHVAGTVAALDNTTGVLGVAPSVSLYAVKVLNSSGSGTYSGIVSGIEWATTNGMDVINMSLGGPSGSTAMKQAVDNAYARGVVVVAAAGNSGSSGNTNTIGYPAKYDSVIAVGAVDSNSNRASFSSVGAELEVMAPGAGVYSTYPTSTYATLNGTSMASPHVAGAAALILSKHPNLSASQVRNRLSSTATYLGSSFYYGKGLINVEAAAQ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inlineStr">
        <is>
          <t>Subtilisin SubC</t>
        </is>
      </c>
      <c r="Z49" s="5" t="inlineStr">
        <is>
          <t>CAB56500</t>
        </is>
      </c>
      <c r="AA49" s="5" t="inlineStr">
        <is>
          <t>Direct</t>
        </is>
      </c>
      <c r="AB49" s="5" t="n">
        <v>79</v>
      </c>
      <c r="AC49" s="5" t="inlineStr">
        <is>
          <t>10.1023/A:1010120128048</t>
        </is>
      </c>
      <c r="AD49" s="5" t="inlineStr">
        <is>
          <t>MMRKKSFWLGMLTAFMLVFTMAFSDSASAAQPAKNVEKDYIVGFKSGVKTASVKKDIIKESGGKVDKQFRIINAAKAKLDKEALKEVKNDPDVAYVEEDHVAHALAQTVPYGIPLIKADKVQAQGFKGANVKVAVLDTGIQASHPDLNVVGGASFVAGEAYNTDGNGHGTHVAGTVAALDNTTGVLGVAPSVSLYAVKVLNSSGSGTYSGIVSGIEWATTNGMDVINMSLGGPSGSTAMKQAVDNAYARGVVVVAAAGNSGSSGNTNTIGYPAKYDSVIAVGAVDSNSNRASFSSVGAELEVMAPGAGVYSTYPTSTYATLNGTSMASPHVAGAAALILSKHPNLSASQVRNRLSSTATYLGSSFYYGKGLINVEAAAQ</t>
        </is>
      </c>
      <c r="AE49" s="5" t="inlineStr">
        <is>
          <t>Bacillus licheniformis</t>
        </is>
      </c>
      <c r="AF49" s="5" t="n">
        <v>1402</v>
      </c>
      <c r="AG49" s="5" t="inlineStr">
        <is>
          <t>supp_unavailable</t>
        </is>
      </c>
      <c r="AH49" s="5" t="inlineStr">
        <is>
          <t>ncbi</t>
        </is>
      </c>
      <c r="AI49" s="5" t="n"/>
      <c r="AJ49" s="5" t="n"/>
      <c r="AK49" s="5" t="n"/>
      <c r="AL49" s="5" t="n">
        <v>1</v>
      </c>
    </row>
    <row r="50" ht="15" customHeight="1" s="12">
      <c r="A50" s="5" t="inlineStr">
        <is>
          <t>retrieving_only</t>
        </is>
      </c>
      <c r="B50" s="5" t="inlineStr">
        <is>
          <t>MRTVVGAAITAAAVAVGMIASSPA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inlineStr">
        <is>
          <t>TEP181</t>
        </is>
      </c>
      <c r="Z50" s="5" t="inlineStr">
        <is>
          <t>WP_212846608.1</t>
        </is>
      </c>
      <c r="AA50" s="5" t="inlineStr">
        <is>
          <t>Direct</t>
        </is>
      </c>
      <c r="AB50" s="5" t="n">
        <v>477</v>
      </c>
      <c r="AC50" s="5" t="inlineStr">
        <is>
          <t>10.1021/acscatal.5c03460</t>
        </is>
      </c>
      <c r="AD50" s="5" t="inlineStr">
        <is>
          <t>MRTVVGAAITAAAVAVGMIASSPA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      </is>
      </c>
      <c r="AE50" s="5" t="inlineStr">
        <is>
          <t>Actinoplanes ianthinogenes</t>
        </is>
      </c>
      <c r="AF50" s="5" t="n">
        <v>122358</v>
      </c>
      <c r="AG50" s="5" t="inlineStr">
        <is>
          <t>seq_in_supp</t>
        </is>
      </c>
      <c r="AH50" s="5" t="inlineStr">
        <is>
          <t>ncbi</t>
        </is>
      </c>
      <c r="AI50" s="5" t="n"/>
      <c r="AJ50" s="5" t="n"/>
      <c r="AK50" s="5" t="n"/>
      <c r="AL50" s="5" t="n">
        <v>1</v>
      </c>
    </row>
    <row r="51" ht="15" customHeight="1" s="12">
      <c r="A51" s="5" t="inlineStr">
        <is>
          <t>retrieving_only</t>
        </is>
      </c>
      <c r="B51" s="5" t="inlineStr">
        <is>
          <t>MRIKVVFAALVLALTPAATATAAANPYERGPAPTAATVEAARGTFAVTQAAIARQTNFGGGTIYTPTSDLTFGAVAISPGFTANQSSVAHFGPRLASYGFVVVTINTLSGFDDPDSRGRQLLAALDYAVRTNPRVDASRLAVMGHSMGGGGALRASVSRPALQASIPLAAWHTTKNWSTVGVPTLVLGGQNDPTAPNSQHSTPFYNSITAAPDKAFLELRGGDHSDPRSDNVTVRKFTLSWLKRFVDNDVRYDQFLCPAPAPNTAISAYRDTCPHA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>
        <v>1169</v>
      </c>
      <c r="Z51" s="5" t="inlineStr">
        <is>
          <t>WP_065917710.1</t>
        </is>
      </c>
      <c r="AA51" s="5" t="inlineStr">
        <is>
          <t>Direct</t>
        </is>
      </c>
      <c r="AB51" s="5" t="n">
        <v>300</v>
      </c>
      <c r="AC51" s="5" t="inlineStr">
        <is>
          <t>10.1126/science.adp5637</t>
        </is>
      </c>
      <c r="AD51" s="5" t="inlineStr">
        <is>
          <t>MRIKVVFAALVLALTPAATATAAANPYERGPAPTAATVEAARGTFAVTQAAIARQTNFGGGTIYTPTSDLTFGAVAISPGFTANQSSVAHFGPRLASYGFVVVTINTLSGFDDPDSRGRQLLAALDYAVRTNPRVDASRLAVMGHSMGGGGALRASVSRPALQASIPLAAWHTTKNWSTVGVPTLVLGGQNDPTAPNSQHSTPFYNSITAAPDKAFLELRGGDHSDPRSDNVTVRKFTLSWLKRFVDNDVRYDQFLCPAPAPNTAISAYRDTCPHA</t>
        </is>
      </c>
      <c r="AE51" s="5" t="inlineStr">
        <is>
          <t>Lentzea guizhouensis</t>
        </is>
      </c>
      <c r="AF51" s="5" t="n">
        <v>1586287</v>
      </c>
      <c r="AG51" s="5" t="inlineStr">
        <is>
          <t>supp_unavailable</t>
        </is>
      </c>
      <c r="AH51" s="5" t="inlineStr">
        <is>
          <t>ncbi</t>
        </is>
      </c>
      <c r="AI51" s="5" t="n"/>
      <c r="AJ51" s="5" t="n"/>
      <c r="AK51" s="5" t="n"/>
      <c r="AL51" s="5" t="n">
        <v>1</v>
      </c>
    </row>
    <row r="52" ht="15" customHeight="1" s="12">
      <c r="A52" s="5" t="inlineStr">
        <is>
          <t>retrieving_only</t>
        </is>
      </c>
      <c r="B52" s="5" t="inlineStr">
        <is>
          <t>MNNDLTAVKGIKIGHADDQDSGTGCTVILADGNFTIGAEVRGGAPGSREIALTDSRAAVDQANAVFLSGGSAYGLDAAGGVMKYLKEKNVGFQTGGGVVPIVPAAVIYDLEYKSNNYPDQKMAYQACTSASNSAQTAHSIGAAAGATCGKLMGMDKATKTVLGHAAHKSGDLTVSALAVVNAFGDIKNPNSGEIIAGAKNEAGDFINTEKTIINQPEINLGFLRENTTLVVIATNALLDKSEANRVSMMAHSGLSRTIYPVHTLLDGDSIFTLASNKIKADINQVGILAAEVVKRAVINSAG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inlineStr">
        <is>
          <t>Nyl29</t>
        </is>
      </c>
      <c r="Z52" s="5" t="inlineStr">
        <is>
          <t>A0A315R6Z8</t>
        </is>
      </c>
      <c r="AA52" s="5" t="inlineStr">
        <is>
          <t>Direct</t>
        </is>
      </c>
      <c r="AB52" s="5" t="n">
        <v>352</v>
      </c>
      <c r="AC52" s="5" t="inlineStr">
        <is>
          <t>10.1016/j.checat.2025.101418</t>
        </is>
      </c>
      <c r="AD52" s="5" t="inlineStr">
        <is>
          <t>MNNDLTAVKGIKIGHADDQDSGTGCTVILADGNFTIGAEVRGGAPGSREIALTDSRAAVDQANAVFLSGGSAYGLDAAGGVMKYLKEKNVGFQTGGGVVPIVPAAVIYDLEYKSNNYPDQKMAYQACTSASNSAQTAHSIGAAAGATCGKLMGMDKATKTVLGHAAHKSGDLTVSALAVVNAFGDIKNPNSGEIIAGAKNEAGDFINTEKTIINQPEINLGFLRENTTLVVIATNALLDKSEANRVSMMAHSGLSRTIYPVHTLLDGDSIFTLASNKIKADINQVGILAAEVVKRAVINSAG</t>
        </is>
      </c>
      <c r="AE52" s="5" t="inlineStr">
        <is>
          <t>Halanaerobium sp.</t>
        </is>
      </c>
      <c r="AF52" s="5" t="n">
        <v>1895664</v>
      </c>
      <c r="AG52" s="5" t="inlineStr">
        <is>
          <t>supp_unavailable</t>
        </is>
      </c>
      <c r="AH52" s="5" t="inlineStr">
        <is>
          <t>uniparc</t>
        </is>
      </c>
      <c r="AI52" s="5" t="n"/>
      <c r="AJ52" s="5" t="n"/>
      <c r="AK52" s="5" t="n"/>
      <c r="AL52" s="5" t="n">
        <v>1</v>
      </c>
    </row>
    <row r="53" ht="15" customHeight="1" s="12">
      <c r="A53" s="5" t="inlineStr">
        <is>
          <t>retrieving_only</t>
        </is>
      </c>
      <c r="B53" s="5" t="inlineStr">
        <is>
          <t>MNNIDWKQPHQLGPRNDIHDVEGILTGHAQSQSPHSGASLFVFPEGSIGAVDVRGGAPGSRETEALAPGHVTERLDGLFLSGGSAHGLAAGSMLTQYLLNQDIGIKLRPHVPPVPIVAGAVIYDLTPEHLGHDLKQIYEGLAQEACGKLGTNKAQHRDGAGAGARDALGKGGLANASYRLDDIHVGVLVVANPVGQVGAQGPVSLGSTKLRDLNLSTTNAGANTSIGVVATNLKLTRLQLKRVAMMAHDGLARAIRPVHTPHDGDLLFAVSTNQLGHDLPEALASMLVGNMAADAVESALLSLG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inlineStr">
        <is>
          <t>Nyl34</t>
        </is>
      </c>
      <c r="Z53" s="5" t="inlineStr">
        <is>
          <t>A0A368EC02</t>
        </is>
      </c>
      <c r="AA53" s="5" t="inlineStr">
        <is>
          <t>Direct</t>
        </is>
      </c>
      <c r="AB53" s="5" t="n">
        <v>355</v>
      </c>
      <c r="AC53" s="5" t="inlineStr">
        <is>
          <t>10.1016/j.checat.2025.101418</t>
        </is>
      </c>
      <c r="AD53" s="5" t="inlineStr">
        <is>
          <t>MNNIDWKQPHQLGPRNDIHDVEGILTGHAQSQSPHSGASLFVFPEGSIGAVDVRGGAPGSRETEALAPGHVTERLDGLFLSGGSAHGLAAGSMLTQYLLNQDIGIKLRPHVPPVPIVAGAVIYDLTPEHLGHDLKQIYEGLAQEACGKLGTNKAQHRDGAGAGARDALGKGGLANASYRLDDIHVGVLVVANPVGQVGAQGPVSLGSTKLRDLNLSTTNAGANTSIGVVATNLKLTRLQLKRVAMMAHDGLARAIRPVHTPHDGDLLFAVSTNQLGHDLPEALASMLVGNMAADAVESALLSLG</t>
        </is>
      </c>
      <c r="AE53" s="5" t="inlineStr">
        <is>
          <t>SAR116 cluster bacterium</t>
        </is>
      </c>
      <c r="AF53" s="5" t="n">
        <v>2024888</v>
      </c>
      <c r="AG53" s="5" t="inlineStr">
        <is>
          <t>supp_unavailable</t>
        </is>
      </c>
      <c r="AH53" s="5" t="inlineStr">
        <is>
          <t>uniparc</t>
        </is>
      </c>
      <c r="AI53" s="5" t="n"/>
      <c r="AJ53" s="5" t="n"/>
      <c r="AK53" s="5" t="n"/>
      <c r="AL53" s="5" t="n">
        <v>1</v>
      </c>
    </row>
    <row r="54" ht="15" customHeight="1" s="12">
      <c r="A54" s="5" t="inlineStr">
        <is>
          <t>retrieving_only</t>
        </is>
      </c>
      <c r="B54" s="5" t="inlineStr">
        <is>
          <t>MPEEHTQPARVSGDWGIASGRRGLSAGPVRRIVAVVAVVLGMLAAVVAGVPASAADNPYQRGPDPTLAGVAATRGTFATAQMSVPPGNGFNGGMIYYPTDTSLGTWGAVAIVPGYTARFADEEAWMGHWLASFGFVVIGIETNSRTDFDTARGVQLLAGLDYLTQKSPVRNRVDPNRLSVVGHSMGGGGALVAAERRPSLKAAVGLAPFKPSGNLAADRVPTMIMGGTRDTTVTPSYLDGLYATLPAATESAYVQLSGANHLFPTKPNTLETRILIPWLKTFVDNDTRYTQFLCPTLADPTGTSKYRSTCPYAPAGRSVSSPTADLSSLSR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>
        <v>1478</v>
      </c>
      <c r="Z54" s="5" t="inlineStr">
        <is>
          <t>WP_141569747.1</t>
        </is>
      </c>
      <c r="AA54" s="5" t="inlineStr">
        <is>
          <t>Direct</t>
        </is>
      </c>
      <c r="AB54" s="5" t="n">
        <v>320</v>
      </c>
      <c r="AC54" s="5" t="inlineStr">
        <is>
          <t>10.1126/science.adp5637</t>
        </is>
      </c>
      <c r="AD54" s="5" t="inlineStr">
        <is>
          <t>MPEEHTQPARVSGDWGIASGRRGLSAGPVRRIVAVVAVVLGMLAAVVAGVPASAADNPYQRGPDPTLAGVAATRGTFATAQMSVPPGNGFNGGMIYYPTDTSLGTWGAVAIVPGYTARFADEEAWMGHWLASFGFVVIGIETNSRTDFDTARGVQLLAGLDYLTQKSPVRNRVDPNRLSVVGHSMGGGGALVAAERRPSLKAAVGLAPFKPSGNLAADRVPTMIMGGTRDTTVTPSYLDGLYATLPAATESAYVQLSGANHLFPTKPNTLETRILIPWLKTFVDNDTRYTQFLCPTLADPTGTSKYRSTCPYAPAGRSVSSPTADLSSLSR</t>
        </is>
      </c>
      <c r="AE54" s="5" t="inlineStr">
        <is>
          <t>Streptomyces ipomoeae</t>
        </is>
      </c>
      <c r="AF54" s="5" t="n">
        <v>103232</v>
      </c>
      <c r="AG54" s="5" t="inlineStr">
        <is>
          <t>supp_unavailable</t>
        </is>
      </c>
      <c r="AH54" s="5" t="inlineStr">
        <is>
          <t>ncbi</t>
        </is>
      </c>
      <c r="AI54" s="5" t="n"/>
      <c r="AJ54" s="5" t="n"/>
      <c r="AK54" s="5" t="n"/>
      <c r="AL54" s="5" t="n">
        <v>1</v>
      </c>
    </row>
    <row r="55" ht="15" customHeight="1" s="12">
      <c r="A55" s="5" t="inlineStr">
        <is>
          <t>retrieving_only</t>
        </is>
      </c>
      <c r="B55" s="5" t="inlineStr">
        <is>
          <t>MPATERRHHAGRVLRRVVAAAAVVLGAATTVVAVDPVLAADNPYQRGPEPTTSSVAATRGTFATAEVSVSKGNGFGGGKIYYPTDTSKGTFGAIAVVPGYTATWAAEGAWMGPWLASFGFVVIGIDTNSRTDYDTARGTQLLAALDYLTQKSSVRSRVDVKRLSVMGHSMGGGGAMYAALHRPSLWAAVGNAPFSPSQNLKSDRVPTLLLAGQKDTTVTPSSVVGLYNGIPAATEKGYLELTGAAHNFPTRSNSVMMRKVVPWLKIFVDHDTRYGQFLCPSLKDTTGITSYRSTCPLTTAGQ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>
        <v>1457</v>
      </c>
      <c r="Z55" s="5" t="inlineStr">
        <is>
          <t>WP_093954453.1</t>
        </is>
      </c>
      <c r="AA55" s="5" t="inlineStr">
        <is>
          <t>Direct</t>
        </is>
      </c>
      <c r="AB55" s="5" t="n">
        <v>312</v>
      </c>
      <c r="AC55" s="5" t="inlineStr">
        <is>
          <t>10.1126/science.adp5637</t>
        </is>
      </c>
      <c r="AD55" s="5" t="inlineStr">
        <is>
          <t>MPATERRHHAGRVLRRVVAAAAVVLGAATTVVAVDPVLAADNPYQRGPEPTTSSVAATRGTFATAEVSVSKGNGFGGGKIYYPTDTSKGTFGAIAVVPGYTATWAAEGAWMGPWLASFGFVVIGIDTNSRTDYDTARGTQLLAALDYLTQKSSVRSRVDVKRLSVMGHSMGGGGAMYAALHRPSLWAAVGNAPFSPSQNLKSDRVPTLLLAGQKDTTVTPSSVVGLYNGIPAATEKGYLELTGAAHNFPTRSNSVMMRKVVPWLKIFVDHDTRYGQFLCPSLKDTTGITSYRSTCPLTTAGQ</t>
        </is>
      </c>
      <c r="AE55" s="5" t="inlineStr">
        <is>
          <t>Amycolatopsis vastitatis</t>
        </is>
      </c>
      <c r="AF55" s="5" t="n">
        <v>1905142</v>
      </c>
      <c r="AG55" s="5" t="inlineStr">
        <is>
          <t>supp_unavailable</t>
        </is>
      </c>
      <c r="AH55" s="5" t="inlineStr">
        <is>
          <t>ncbi</t>
        </is>
      </c>
      <c r="AI55" s="5" t="n"/>
      <c r="AJ55" s="5" t="n"/>
      <c r="AK55" s="5" t="n"/>
      <c r="AL55" s="5" t="n">
        <v>1</v>
      </c>
    </row>
    <row r="56" ht="15" customHeight="1" s="12">
      <c r="A56" s="5" t="inlineStr">
        <is>
          <t>retrieving_only</t>
        </is>
      </c>
      <c r="B56" s="5" t="inlineStr">
        <is>
          <t>MPASVRGRLFKLATAGIAAAVGLFTMTVATSSASAADNPYQRGPDPTRTSVTAVNGPFANTSVSVPTGQGFNGGRIYYPTDTSQGTFGAVAISPGYTALFSAELAWMGPWLASHGFVVIGIETNSTNDFDTARGTQLLAALDYLTQRSSVRDRVDPNRLAVSGHSMGGGGALSAAARRSSLKAVVGITPYSPSSNLANVRVPTMVVSGQADTVVTPSYALNLYNSLPSTTESVYLEVAGGDHGFMVGRSNPVLVRTMLPFLKMFVDNDTRYSQFLCPLMDNSGVVTYRSTCPLLPTPTTPPPTTGPTTPPPTTPPTTTPPPSGSTGQIVGTQSNRCIDVPNSSRNNGTRVQLYDCHGQANQTWTYDSSTKQLRVYGDMCLDASGSGNGAAVQIYSCHNQTNQQWNINSNGTISGVQSNRCLDAWSTNNGAQIQLYDCHGQTNQQFRIRA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inlineStr">
        <is>
          <t>TEP168</t>
        </is>
      </c>
      <c r="Z56" s="5" t="inlineStr">
        <is>
          <t>WP_239095870.1</t>
        </is>
      </c>
      <c r="AA56" s="5" t="inlineStr">
        <is>
          <t>Direct</t>
        </is>
      </c>
      <c r="AB56" s="5" t="n">
        <v>475</v>
      </c>
      <c r="AC56" s="5" t="inlineStr">
        <is>
          <t>10.1021/acscatal.5c03460</t>
        </is>
      </c>
      <c r="AD56" s="5" t="inlineStr">
        <is>
          <t>MPASVRGRLFKLATAGIAAAVGLFTMTVATSSASAADNPYQRGPDPTRTSVTAVNGPFANTSVSVPTGQGFNGGRIYYPTDTSQGTFGAVAISPGYTALFSAELAWMGPWLASHGFVVIGIETNSTNDFDTARGTQLLAALDYLTQRSSVRDRVDPNRLAVSGHSMGGGGALSAAARRSSLKAVVGITPYSPSSNLANVRVPTMVVSGQADTVVTPSYALNLYNSLPSTTESVYLEVAGGDHGFMVGRSNPVLVRTMLPFLKMFVDNDTRYSQFLCPLMDNSGVVTYRSTCPLLPTPTTPPPTTGPTTPPPTTPPTTTPPPSGSTGQIVGTQSNRCIDVPNSSRNNGTRVQLYDCHGQANQTWTYDSSTKQLRVYGDMCLDASGSGNGAAVQIYSCHNQTNQQWNINSNGTISGVQSNRCLDAWSTNNGAQIQLYDCHGQTNQQFRIRA</t>
        </is>
      </c>
      <c r="AE56" s="5" t="inlineStr">
        <is>
          <t>Micromonospora lutea</t>
        </is>
      </c>
      <c r="AF56" s="5" t="n">
        <v>419825</v>
      </c>
      <c r="AG56" s="5" t="inlineStr">
        <is>
          <t>seq_in_supp</t>
        </is>
      </c>
      <c r="AH56" s="5" t="inlineStr">
        <is>
          <t>ncbi</t>
        </is>
      </c>
      <c r="AI56" s="5" t="n"/>
      <c r="AJ56" s="5" t="n"/>
      <c r="AK56" s="5" t="n"/>
      <c r="AL56" s="5" t="n">
        <v>1</v>
      </c>
    </row>
    <row r="57" ht="15" customHeight="1" s="12">
      <c r="A57" s="5" t="inlineStr">
        <is>
          <t>retrieving_only</t>
        </is>
      </c>
      <c r="B57" s="5" t="inlineStr">
        <is>
          <t>MPALLAIAAGLVAPTSTATAATTSYQRGPNPTEQSVRAANGPFAYSQFAIPDAEATGFGEGTIYYPNNTSVGTFGGVVIAPGFNADQNSTVWLGKRLASHGFVAVTITTHELNDQPYERGKQILAALDYLTGQSPAFVRSRLDPARLAAVGHSMGGGGTLFAAAQRPSLKAIVPLAPWALAKNWSNVQVPTMILSGAQDASAPPAEHAEKFYASLTSAPEKAYAKLDVNHVRFAWEHPLIGKLVVSWLKRFVDEDTRYTQFLCPTATGAVLLEYRATCPLG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>
        <v>1228</v>
      </c>
      <c r="Z57" s="5" t="inlineStr">
        <is>
          <t>WP_091450391.1</t>
        </is>
      </c>
      <c r="AA57" s="5" t="inlineStr">
        <is>
          <t>Direct</t>
        </is>
      </c>
      <c r="AB57" s="5" t="n">
        <v>333</v>
      </c>
      <c r="AC57" s="5" t="inlineStr">
        <is>
          <t>10.1126/science.adp5637</t>
        </is>
      </c>
      <c r="AD57" s="5" t="inlineStr">
        <is>
          <t>MPALLAIAAGLVAPTSTATAATTSYQRGPNPTEQSVRAANGPFAYSQFAIPDAEATGFGEGTIYYPNNTSVGTFGGVVIAPGFNADQNSTVWLGKRLASHGFVAVTITTHELNDQPYERGKQILAALDYLTGQSPAFVRSRLDPARLAAVGHSMGGGGTLFAAAQRPSLKAIVPLAPWALAKNWSNVQVPTMILSGAQDASAPPAEHAEKFYASLTSAPEKAYAKLDVNHVRFAWEHPLIGKLVVSWLKRFVDEDTRYTQFLCPTATGAVLLEYRATCPLG</t>
        </is>
      </c>
      <c r="AE57" s="5" t="inlineStr">
        <is>
          <t>Actinokineospora iranica</t>
        </is>
      </c>
      <c r="AF57" s="5" t="n">
        <v>1271860</v>
      </c>
      <c r="AG57" s="5" t="inlineStr">
        <is>
          <t>supp_unavailable</t>
        </is>
      </c>
      <c r="AH57" s="5" t="inlineStr">
        <is>
          <t>ncbi</t>
        </is>
      </c>
      <c r="AI57" s="5" t="n"/>
      <c r="AJ57" s="5" t="n"/>
      <c r="AK57" s="5" t="n"/>
      <c r="AL57" s="5" t="n">
        <v>1</v>
      </c>
    </row>
    <row r="58" ht="15" customHeight="1" s="12">
      <c r="A58" s="5" t="inlineStr">
        <is>
          <t>retrieving_only</t>
        </is>
      </c>
      <c r="B58" s="5" t="inlineStr">
        <is>
          <t>MPAKVRGRLFKLATAGIAAAVGLFTMTVATSSASAADNPYERGPDPTRTSVATERGPFANTSVSVPSGHGFNGGRIYYPTDTSQGTFGAIAISPGYTALFSVELAWMGPWLASHGFVVIGIETNSTNDFDTARGTQLLAALDYLTQQSPVRDRIDPSRLAVSGHSMGGGGALSAAMRRSSLKAVVGITPFSPSSNLASNQVPTMVISGQADTVVTPSYALDLYNSLPASTESVYLEVAGGDHGFMVGRSNPVLIRTMLPFLKMFVDNDTRYSQFLCPLMDNSGVVTYRSTCPLLPTPPTTPPPTGDPTSPPPSTDPTTPPPSGSTGQIVGTQSNRCIDVPNSSRNNGTRVQLYDCHGQANQTWTYNSTTKQLRVYGDMCLDAAGSGNGAAVQIYNCHGQTNQQWNLNSNGTISGVQSNRCLDVWSTNNGAQIQLYDCHGQTNQQFRIR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inlineStr">
        <is>
          <t>ESM173</t>
        </is>
      </c>
      <c r="Z58" s="5" t="inlineStr">
        <is>
          <t>MTK05241.1</t>
        </is>
      </c>
      <c r="AA58" s="5" t="inlineStr">
        <is>
          <t>Direct</t>
        </is>
      </c>
      <c r="AB58" s="5" t="n">
        <v>450</v>
      </c>
      <c r="AC58" s="5" t="inlineStr">
        <is>
          <t>10.1021/acscatal.5c03460</t>
        </is>
      </c>
      <c r="AD58" s="5" t="inlineStr">
        <is>
          <t>MPAKVRGRLFKLATAGIAAAVGLFTMTVATSSASAADNPYERGPDPTRTSVATERGPFANTSVSVPSGHGFNGGRIYYPTDTSQGTFGAIAISPGYTALFSVELAWMGPWLASHGFVVIGIETNSTNDFDTARGTQLLAALDYLTQQSPVRDRIDPSRLAVSGHSMGGGGALSAAMRRSSLKAVVGITPFSPSSNLASNQVPTMVISGQADTVVTPSYALDLYNSLPASTESVYLEVAGGDHGFMVGRSNPVLIRTMLPFLKMFVDNDTRYSQFLCPLMDNSGVVTYRSTCPLLPTPPTTPPPTGDPTSPPPSTDPTTPPPSGSTGQIVGTQSNRCIDVPNSSRNNGTRVQLYDCHGQANQTWTYNSTTKQLRVYGDMCLDAAGSGNGAAVQIYNCHGQTNQQWNLNSNGTISGVQSNRCLDVWSTNNGAQIQLYDCHGQTNQQFRIRS</t>
        </is>
      </c>
      <c r="AE58" s="5" t="inlineStr">
        <is>
          <t>Micromonospora sp. CP22</t>
        </is>
      </c>
      <c r="AF58" s="5" t="n">
        <v>2580517</v>
      </c>
      <c r="AG58" s="5" t="inlineStr">
        <is>
          <t>seq_in_supp</t>
        </is>
      </c>
      <c r="AH58" s="5" t="inlineStr">
        <is>
          <t>ncbi</t>
        </is>
      </c>
      <c r="AI58" s="5" t="n"/>
      <c r="AJ58" s="5" t="n"/>
      <c r="AK58" s="5" t="n"/>
      <c r="AL58" s="5" t="n">
        <v>1</v>
      </c>
    </row>
    <row r="59" ht="15" customHeight="1" s="12">
      <c r="A59" s="5" t="inlineStr">
        <is>
          <t>retrieving_only</t>
        </is>
      </c>
      <c r="B59" s="5" t="inlineStr">
        <is>
          <t>MRSSRCPADATWPLGTRSRAVMLLITLATTIALALLTGSAPPTAAAVPLSQGETAHAVELLSQGKPATASSTENTSTPPSAAMDGNTGVYGTQRGTPHGYSLWEFQVHGSAGGTSPGAGIPDPTTASLEATNGPLATAAYTVPNPSGYGSGTITYPTATGSYPGVVLMPGYQGTQQNLQWLAPRLASWGFVVINVGTNTLTDDPESRGRQISAAGTQLLALGNTTGNPVSGKLNGTLGAAGHSMGGGGVMAALRDDSRFKAGVPTAPFHTSPNFSGVTEPTFFLTCQSDVAAPGNRYALPWYNSMTQAEKLYIEVPGDHLCPMTGSGNKAKQGKWIVSFLSRWLRADTRFSPFLCDAVRDADKNNTSLVTRWMDTCPF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>
        <v>1821</v>
      </c>
      <c r="Z59" s="5" t="inlineStr">
        <is>
          <t>WP_137976057.1</t>
        </is>
      </c>
      <c r="AA59" s="5" t="inlineStr">
        <is>
          <t>Direct</t>
        </is>
      </c>
      <c r="AB59" s="5" t="n">
        <v>288</v>
      </c>
      <c r="AC59" s="5" t="inlineStr">
        <is>
          <t>10.1126/science.adp5637</t>
        </is>
      </c>
      <c r="AD59" s="5" t="inlineStr">
        <is>
          <t>MRSSRCPADATWPLGTRSRAVMLLITLATTIALALLTGSAPPTAAAVPLSQGETAHAVELLSQGKPATASSTENTSTPPSAAMDGNTGVYGTQRGTPHGYSLWEFQVHGSAGGTSPGAGIPDPTTASLEATNGPLATAAYTVPNPSGYGSGTITYPTATGSYPGVVLMPGYQGTQQNLQWLAPRLASWGFVVINVGTNTLTDDPESRGRQISAAGTQLLALGNTTGNPVSGKLNGTLGAAGHSMGGGGVMAALRDDSRFKAGVPTAPFHTSPNFSGVTEPTFFLTCQSDVAAPGNRYALPWYNSMTQAEKLYIEVPGDHLCPMTGSGNKAKQGKWIVSFLSRWLRADTRFSPFLCDAVRDADKNNTSLVTRWMDTCPF</t>
        </is>
      </c>
      <c r="AE59" s="5" t="inlineStr">
        <is>
          <t>Streptomyces violaceusniger</t>
        </is>
      </c>
      <c r="AF59" s="5" t="n">
        <v>68280</v>
      </c>
      <c r="AG59" s="5" t="inlineStr">
        <is>
          <t>supp_unavailable</t>
        </is>
      </c>
      <c r="AH59" s="5" t="inlineStr">
        <is>
          <t>ncbi</t>
        </is>
      </c>
      <c r="AI59" s="5" t="n"/>
      <c r="AJ59" s="5" t="n"/>
      <c r="AK59" s="5" t="n"/>
      <c r="AL59" s="5" t="n">
        <v>1</v>
      </c>
    </row>
    <row r="60" ht="15" customHeight="1" s="12">
      <c r="A60" s="5" t="inlineStr">
        <is>
          <t>retrieving_only</t>
        </is>
      </c>
      <c r="B60" s="5" t="inlineStr">
        <is>
          <t>MRSVARRLAAVSALLALGAAPAVAPAHASAQVTRQAAGSYARGPAPTLAGIRAALGPFAYSTVTVTAAQAGGAFGGGTIYYPDDTSQGTFGGVAAVPGYQSAEKAVAWLGPRLASQGFVVITIATNGLTDQPTARGKQLLGALDYLTAQSPAAVRQRLDPNRLAVTGHSMGGGGTLYAAWTRPSLKAAVPLAPWHTIKNWSGITVPTLVQGGTQDTTAQVGTFAEPIYQSLTGARERAYAEIADAAHGTFVRENPLIGALEVAWLKRFVDDDGRYEQFLCPAPADSELTEYRDSCPS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>
        <v>1340</v>
      </c>
      <c r="Z60" s="5" t="inlineStr">
        <is>
          <t>WP_103564314.1</t>
        </is>
      </c>
      <c r="AA60" s="5" t="inlineStr">
        <is>
          <t>Direct</t>
        </is>
      </c>
      <c r="AB60" s="5" t="n">
        <v>335</v>
      </c>
      <c r="AC60" s="5" t="inlineStr">
        <is>
          <t>10.1126/science.adp5637</t>
        </is>
      </c>
      <c r="AD60" s="5" t="inlineStr">
        <is>
          <t>MRSVARRLAAVSALLALGAAPAVAPAHASAQVTRQAAGSYARGPAPTLAGIRAALGPFAYSTVTVTAAQAGGAFGGGTIYYPDDTSQGTFGGVAAVPGYQSAEKAVAWLGPRLASQGFVVITIATNGLTDQPTARGKQLLGALDYLTAQSPAAVRQRLDPNRLAVTGHSMGGGGTLYAAWTRPSLKAAVPLAPWHTIKNWSGITVPTLVQGGTQDTTAQVGTFAEPIYQSLTGARERAYAEIADAAHGTFVRENPLIGALEVAWLKRFVDDDGRYEQFLCPAPADSELTEYRDSCPSS</t>
        </is>
      </c>
      <c r="AE60" s="5" t="inlineStr">
        <is>
          <t>Actinomadura rubteroloni</t>
        </is>
      </c>
      <c r="AF60" s="5" t="n">
        <v>1926885</v>
      </c>
      <c r="AG60" s="5" t="inlineStr">
        <is>
          <t>supp_unavailable</t>
        </is>
      </c>
      <c r="AH60" s="5" t="inlineStr">
        <is>
          <t>ncbi</t>
        </is>
      </c>
      <c r="AI60" s="5" t="n"/>
      <c r="AJ60" s="5" t="n"/>
      <c r="AK60" s="5" t="n"/>
      <c r="AL60" s="5" t="n">
        <v>1</v>
      </c>
    </row>
    <row r="61" ht="15" customHeight="1" s="12">
      <c r="A61" s="5" t="inlineStr">
        <is>
          <t>retrieving_only</t>
        </is>
      </c>
      <c r="B61" s="5" t="inlineStr">
        <is>
          <t>MMKFLQIFSLAGLVTALPTLPTEDAVEIEARQVSSTSNDLENGSSANCPRVILVFARGSTEPGNMGATVGPDLANGLATYFPNDLWVQGVGGAYDATLEANALPLGTTQAAIDEAARLFTLANQKCPSSAVVAGGYSQGTAVIAGALSGLAGSAVQDQVRGAALFGYTRNAQNGGRIPNFPTDRTQVYCNPGDLVCTGTLIVTPAHFGYGVDASVTAPRWLAGQVNGA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inlineStr">
        <is>
          <t>TaC</t>
        </is>
      </c>
      <c r="Z61" s="5" t="n"/>
      <c r="AA61" s="5" t="inlineStr">
        <is>
          <t>Direct</t>
        </is>
      </c>
      <c r="AB61" s="5" t="n">
        <v>230</v>
      </c>
      <c r="AC61" s="5" t="inlineStr">
        <is>
          <t>10.1021/acssuschemeng.4c00060</t>
        </is>
      </c>
      <c r="AD61" s="5" t="inlineStr">
        <is>
          <t>MMKFLQIFSLAGLVTALPTLPTEDAVEIEARQVSSTSNDLENGSSANCPRVILVFARGSTEPGNMGATVGPDLANGLATYFPNDLWVQGVGGAYDATLEANALPLGTTQAAIDEAARLFTLANQKCPSSAVVAGGYSQGTAVIAGALSGLAGSAVQDQVRGAALFGYTRNAQNGGRIPNFPTDRTQVYCNPGDLVCTGTLIVTPAHFGYGVDASVTAPRWLAGQVNGA</t>
        </is>
      </c>
      <c r="AE61" s="5" t="n"/>
      <c r="AF61" s="5" t="n"/>
      <c r="AG61" s="5" t="n"/>
      <c r="AH61" s="5" t="n"/>
      <c r="AI61" s="5" t="n"/>
      <c r="AJ61" s="5" t="n"/>
      <c r="AK61" s="5" t="n"/>
      <c r="AL61" s="5" t="n">
        <v>1</v>
      </c>
    </row>
    <row r="62" ht="15" customHeight="1" s="12">
      <c r="A62" s="5" t="inlineStr">
        <is>
          <t>retrieving_only</t>
        </is>
      </c>
      <c r="B62" s="5" t="inlineStr">
        <is>
          <t>MRTGAAHHASTGSPHRRSGQLARLATAVAAVVGLTTLSGPGAQAADNPYERGPAPTTASIEAARGPYAVSQTTVSSLAVTGFGGGTIYYPTSTGDGTFGAIAVSPGYTATQSSIAWLGPRLASQGFVVFTIDTLTTLDQPDSRGRQLLAALDHLTQVSSVRTRVDGSRLGVMGHSMGGGGSLEAAKARPSLQAAIPLTPWNLDKSWPEVGTPTLIVGADGDTVAPVASHAEPFYSSLPSSLDRAYLELNNATHFTPNSSNTTIAKYGISWLKRFVDNDTRYEQFLCPLPQPSTTIDEYRGNCPHT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inlineStr">
        <is>
          <t>607-Nsp</t>
        </is>
      </c>
      <c r="Z62" s="5" t="inlineStr">
        <is>
          <t>KPI31299.1</t>
        </is>
      </c>
      <c r="AA62" s="5" t="inlineStr">
        <is>
          <t>Direct</t>
        </is>
      </c>
      <c r="AB62" s="5" t="n">
        <v>150</v>
      </c>
      <c r="AC62" s="5" t="inlineStr">
        <is>
          <t>10.1038/s41467-022-35237-x</t>
        </is>
      </c>
      <c r="AD62" s="5" t="inlineStr">
        <is>
          <t>MRTGAAHHASTGSPHRRSGQLARLATAVAAVVGLTTLSGPGAQAADNPYERGPAPTTASIEAARGPYAVSQTTVSSLAVTGFGGGTIYYPTSTGDGTFGAIAVSPGYTATQSSIAWLGPRLASQGFVVFTIDTLTTLDQPDSRGRQLLAALDHLTQVSSVRTRVDGSRLGVMGHSMGGGGSLEAAKARPSLQAAIPLTPWNLDKSWPEVGTPTLIVGADGDTVAPVASHAEPFYSSLPSSLDRAYLELNNATHFTPNSSNTTIAKYGISWLKRFVDNDTRYEQFLCPLPQPSTTIDEYRGNCPHTS</t>
        </is>
      </c>
      <c r="AE62" s="5" t="inlineStr">
        <is>
          <t>Actinobacteria bacterium OV320</t>
        </is>
      </c>
      <c r="AF62" s="5" t="n">
        <v>1592329</v>
      </c>
      <c r="AG62" s="5" t="inlineStr">
        <is>
          <t>supp_unavailable</t>
        </is>
      </c>
      <c r="AH62" s="5" t="inlineStr">
        <is>
          <t>ncbi</t>
        </is>
      </c>
      <c r="AI62" s="5" t="n"/>
      <c r="AJ62" s="5" t="n"/>
      <c r="AK62" s="5" t="n"/>
      <c r="AL62" s="5" t="n">
        <v>1</v>
      </c>
    </row>
    <row r="63" ht="15" customHeight="1" s="12">
      <c r="A63" s="5" t="inlineStr">
        <is>
          <t>retrieving_only</t>
        </is>
      </c>
      <c r="B63" s="5" t="inlineStr">
        <is>
          <t>MRHVIKSRAPAGAEPPIPRRRLLKQAVTAAAVVLGILAPAVSPQSALAAANPYQRGPDPTLASVAATNGPFATAQMTVPPGNGFNGGYIYYPTDTSLGTWGAVAIVPGYTALFKNEEAWMGPRLASFGFVVIGIETNSRTDFDTARGTQLLAALDYLTQKSAVRNRVDPGRLGVIGHSMGGGGALVAATQRPSLKAAVGLAPFKPSGNLANDRVPTMFIAGNRDTVVTPSYLDGLYGSLPAATKKAYVQINGADHLFATKPNTVEMRTLIPWLKIFLDNDTRYSQFLCPTLLDKTGVSMYRGTCPLI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inlineStr">
        <is>
          <t>TEP109</t>
        </is>
      </c>
      <c r="Z63" s="5" t="inlineStr">
        <is>
          <t>WP_307855560.1</t>
        </is>
      </c>
      <c r="AA63" s="5" t="inlineStr">
        <is>
          <t>Direct</t>
        </is>
      </c>
      <c r="AB63" s="5" t="n">
        <v>469</v>
      </c>
      <c r="AC63" s="5" t="inlineStr">
        <is>
          <t>10.1021/acscatal.5c03460</t>
        </is>
      </c>
      <c r="AD63" s="5" t="inlineStr">
        <is>
          <t>MRHVIKSRAPAGAEPPIPRRRLLKQAVTAAAVVLGILAPAVSPQSALAAANPYQRGPDPTLASVAATNGPFATAQMTVPPGNGFNGGYIYYPTDTSLGTWGAVAIVPGYTALFKNEEAWMGPRLASFGFVVIGIETNSRTDFDTARGTQLLAALDYLTQKSAVRNRVDPGRLGVIGHSMGGGGALVAATQRPSLKAAVGLAPFKPSGNLANDRVPTMFIAGNRDTVVTPSYLDGLYGSLPAATKKAYVQINGADHLFATKPNTVEMRTLIPWLKIFLDNDTRYSQFLCPTLLDKTGVSMYRGTCPLI</t>
        </is>
      </c>
      <c r="AE63" s="5" t="inlineStr">
        <is>
          <t>Kibdelosporangium banguiense</t>
        </is>
      </c>
      <c r="AF63" s="5" t="n">
        <v>1365924</v>
      </c>
      <c r="AG63" s="5" t="inlineStr">
        <is>
          <t>supp_no_match</t>
        </is>
      </c>
      <c r="AH63" s="5" t="inlineStr">
        <is>
          <t>ncbi</t>
        </is>
      </c>
      <c r="AI63" s="5" t="n"/>
      <c r="AJ63" s="5" t="n"/>
      <c r="AK63" s="5" t="n"/>
      <c r="AL63" s="5" t="n">
        <v>1</v>
      </c>
    </row>
    <row r="64" ht="15" customHeight="1" s="12">
      <c r="A64" s="5" t="inlineStr">
        <is>
          <t>retrieving_only</t>
        </is>
      </c>
      <c r="B64" s="5" t="inlineStr">
        <is>
          <t>MNTPTTGSHPARYPSAAAGEPTLDSWQEPPHNRWAFAHLGEMVPSAAVSRRPVNAPGHALARLGAIAAQLPDLEQRLEQTYTDAFLVLRGTEVVAEYYRAGFAPDDRHLLMSVSKSLCGTVVGALVDEGRIDPAQPVTEYVPELAGSVYDGPSVLQVLDMQISIDYNEDYVDPASEVQTHGRSAGWRTRATGDPADTYEFLTTLRGDGSTGEFQYCSANTDVLAWIVERVTGLRYVEALSTYLWAKLDADRDATITVDTTGFGFAHGGVSCTARDLARVGRMMLDGGVAPGGRVVSEDWVRRVLAGGSHEAMTDKGFTNTFPDGSYTRQWWCTGNERGNVSGIGIHGQNLWLDPLTDSVIVKLSSWPDPDTEHWHRLQNGILLDVSRALDAV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inlineStr">
        <is>
          <t>NylB'</t>
        </is>
      </c>
      <c r="Z64" s="5" t="inlineStr">
        <is>
          <t>CAA26616.1</t>
        </is>
      </c>
      <c r="AA64" s="5" t="inlineStr">
        <is>
          <t>Direct</t>
        </is>
      </c>
      <c r="AB64" s="5" t="n">
        <v>482</v>
      </c>
      <c r="AC64" s="5" t="inlineStr">
        <is>
          <t>10.1128/jb.174.24.7948-7953.1992; 10.1038/s41467-024-45523-5</t>
        </is>
      </c>
      <c r="AD64" s="5" t="inlineStr">
        <is>
          <t>MNTPTTGSHPARYPSAAAGEPTLDSWQEPPHNRWAFAHLGEMVPSAAVSRRPVNAPGHALARLGAIAAQLPDLEQRLEQTYTDAFLVLRGTEVVAEYYRAGFAPDDRHLLMSVSKSLCGTVVGALVDEGRIDPAQPVTEYVPELAGSVYDGPSVLQVLDMQISIDYNEDYVDPASEVQTHGRSAGWRTRATGDPADTYEFLTTLRGDGSTGEFQYCSANTDVLAWIVERVTGLRYVEALSTYLWAKLDADRDATITVDTTGFGFAHGGVSCTARDLARVGRMMLDGGVAPGGRVVSEDWVRRVLAGGSHEAMTDKGFTNTFPDGSYTRQWWCTGNERGNVSGIGIHGQNLWLDPLTDSVIVKLSSWPDPDTEHWHRLQNGILLDVSRALDAV</t>
        </is>
      </c>
      <c r="AE64" s="5" t="inlineStr">
        <is>
          <t>Paenarthrobacter ureafaciens</t>
        </is>
      </c>
      <c r="AF64" s="5" t="n">
        <v>37931</v>
      </c>
      <c r="AG64" s="5" t="inlineStr">
        <is>
          <t>supp_unavailable</t>
        </is>
      </c>
      <c r="AH64" s="5" t="inlineStr">
        <is>
          <t>ncbi</t>
        </is>
      </c>
      <c r="AI64" s="5" t="n"/>
      <c r="AJ64" s="5" t="n"/>
      <c r="AK64" s="5" t="n"/>
      <c r="AL64" s="5" t="n">
        <v>1</v>
      </c>
    </row>
    <row r="65" ht="15" customHeight="1" s="12">
      <c r="A65" s="5" t="inlineStr">
        <is>
          <t>retrieving_only</t>
        </is>
      </c>
      <c r="B65" s="5" t="inlineStr">
        <is>
          <t>MNTNLARKLRTLPALLALAGSAIVAAPAANAAANPYERGPAPTESSVTAVRGPFATSQTTVSSLSVTGFGGGVIYYPTTTSEGTFGAIAISPGFTAYWSSLDWLGPRLASQGFVVIGIETNTTLDQPASRGDQLLAALDYLTQRSSVRTRVDASRLAVAGHSMGGGGTLEAAKDRTSLKAAIPLAPWNTDKTWPEVRTPTLIIGGESDAVASVASHSIPFYNSLSNAREKAYLELDNASHFFPQVSNTTMAKYMISWMKRYIDDDTRYDQFLCPAPRAIGDISDYRDTCPN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inlineStr">
        <is>
          <t>PC3</t>
        </is>
      </c>
      <c r="Z65" s="5" t="inlineStr">
        <is>
          <t>WP_103939557.1</t>
        </is>
      </c>
      <c r="AA65" s="5" t="inlineStr">
        <is>
          <t>Direct</t>
        </is>
      </c>
      <c r="AB65" s="5" t="n">
        <v>337</v>
      </c>
      <c r="AC65" s="5" t="inlineStr">
        <is>
          <t>10.1038/s41467-023-40233-w</t>
        </is>
      </c>
      <c r="AD65" s="5" t="inlineStr">
        <is>
          <t>MNTNLARKLRTLPALLALAGSAIVAAPAANAAANPYERGPAPTESSVTAVRGPFATSQTTVSSLSVTGFGGGVIYYPTTTSEGTFGAIAISPGFTAYWSSLDWLGPRLASQGFVVIGIETNTTLDQPASRGDQLLAALDYLTQRSSVRTRVDASRLAVAGHSMGGGGTLEAAKDRTSLKAAIPLAPWNTDKTWPEVRTPTLIIGGESDAVASVASHSIPFYNSLSNAREKAYLELDNASHFFPQVSNTTMAKYMISWMKRYIDDDTRYDQFLCPAPRAIGDISDYRDTCPNS</t>
        </is>
      </c>
      <c r="AE65" s="5" t="inlineStr">
        <is>
          <t>Thermomonospora echinospora</t>
        </is>
      </c>
      <c r="AF65" s="5" t="n">
        <v>1992</v>
      </c>
      <c r="AG65" s="5" t="inlineStr">
        <is>
          <t>supp_unavailable</t>
        </is>
      </c>
      <c r="AH65" s="5" t="inlineStr">
        <is>
          <t>ncbi</t>
        </is>
      </c>
      <c r="AI65" s="5" t="n"/>
      <c r="AJ65" s="5" t="n"/>
      <c r="AK65" s="5" t="n"/>
      <c r="AL65" s="5" t="n">
        <v>1</v>
      </c>
    </row>
    <row r="66" ht="15" customHeight="1" s="12">
      <c r="A66" s="5" t="inlineStr">
        <is>
          <t>retrieving_only</t>
        </is>
      </c>
      <c r="B66" s="5" t="inlineStr">
        <is>
          <t>MRTILLRLAVVLTLMGGGVAAVATPALADEIGQAPTASNITGNGSFATTSASISSTVAGFGGGRVYYPTATGTYPVIAISPGFTATWSSLSWIGPRLSSWGFVVVGIETNSIYDQPGSRGSQLLAALNWAVSSSPTAVRSRVDGSRRGVAGHSMGGGGTLEALAADTSGLVKAGVPLAPWNSDKTWNNVSEPVLIVGGQSDTIAPVSSHSVPFYNTLAGPKTYVELTGASHFFPQSSNATTSRALVSWFKRWLNQDSRFTPFTCGFSGAAVSSFRTNAC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inlineStr">
        <is>
          <t>ESM093</t>
        </is>
      </c>
      <c r="Z66" s="5" t="inlineStr">
        <is>
          <t>WP_239135698.1</t>
        </is>
      </c>
      <c r="AA66" s="5" t="inlineStr">
        <is>
          <t>Direct</t>
        </is>
      </c>
      <c r="AB66" s="5" t="n">
        <v>433</v>
      </c>
      <c r="AC66" s="5" t="inlineStr">
        <is>
          <t>10.1021/acscatal.5c03460</t>
        </is>
      </c>
      <c r="AD66" s="5" t="inlineStr">
        <is>
          <t>MRTILLRLAVVLTLMGGGVAAVATPALADEIGQAPTASNITGNGSFATTSASISSTVAGFGGGRVYYPTATGTYPVIAISPGFTATWSSLSWIGPRLSSWGFVVVGIETNSIYDQPGSRGSQLLAALNWAVSSSPTAVRSRVDGSRRGVAGHSMGGGGTLEALAADTSGLVKAGVPLAPWNSDKTWNNVSEPVLIVGGQSDTIAPVSSHSVPFYNTLAGPKTYVELTGASHFFPQSSNATTSRALVSWFKRWLNQDSRFTPFTCGFSGAAVSSFRTNAC</t>
        </is>
      </c>
      <c r="AE66" s="5" t="inlineStr">
        <is>
          <t>Dactylosporangium siamense</t>
        </is>
      </c>
      <c r="AF66" s="5" t="n">
        <v>685454</v>
      </c>
      <c r="AG66" s="5" t="inlineStr">
        <is>
          <t>seq_in_supp</t>
        </is>
      </c>
      <c r="AH66" s="5" t="inlineStr">
        <is>
          <t>ncbi</t>
        </is>
      </c>
      <c r="AI66" s="5" t="n"/>
      <c r="AJ66" s="5" t="n"/>
      <c r="AK66" s="5" t="n"/>
      <c r="AL66" s="5" t="n">
        <v>1</v>
      </c>
    </row>
    <row r="67" ht="15" customHeight="1" s="12">
      <c r="A67" s="5" t="inlineStr">
        <is>
          <t>retrieving_only</t>
        </is>
      </c>
      <c r="B67" s="5" t="inlineStr">
        <is>
          <t>MRTIVRRSLAVLPAALTLAAAAVAVPAAAAPPARVAALATTAYQRGPAPTLSGVRAALGPFSYSTASVSAAATGYTFGGGTVYYPDDTSQGTFGGIAVTPGYTGTEGSIAWLGPRLASQGFVVITIATKSLYDQPTARGQQLLAALDYLKTYSPAAVRQRLDPQRLAVSGHSMGGGGALYAVWSRPSLKAAVPLAPYHTIKNWSAITVPTLIEAGTADTVTPVGTFAEPIYQSLTGASERAYAEVAGANHLTFTAENPLIGGLEVAWMKRFVDDDARYDQFLCPAPTDPGLTEYRDSCPTS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inlineStr">
        <is>
          <t>TEP101</t>
        </is>
      </c>
      <c r="Z67" s="5" t="inlineStr">
        <is>
          <t>WP_019633337.1</t>
        </is>
      </c>
      <c r="AA67" s="5" t="inlineStr">
        <is>
          <t>Direct</t>
        </is>
      </c>
      <c r="AB67" s="5" t="n">
        <v>465</v>
      </c>
      <c r="AC67" s="5" t="inlineStr">
        <is>
          <t>10.1021/acscatal.5c03460</t>
        </is>
      </c>
      <c r="AD67" s="5" t="inlineStr">
        <is>
          <t>MRTIVRRSLAVLPAALTLAAAAVAVPAAAAPPARVAALATTAYQRGPAPTLSGVRAALGPFSYSTASVSAAATGYTFGGGTVYYPDDTSQGTFGGIAVTPGYTGTEGSIAWLGPRLASQGFVVITIATKSLYDQPTARGQQLLAALDYLKTYSPAAVRQRLDPQRLAVSGHSMGGGGALYAVWSRPSLKAAVPLAPYHTIKNWSAITVPTLIEAGTADTVTPVGTFAEPIYQSLTGASERAYAEVAGANHLTFTAENPLIGGLEVAWMKRFVDDDARYDQFLCPAPTDPGLTEYRDSCPTS</t>
        </is>
      </c>
      <c r="AE67" s="5" t="inlineStr">
        <is>
          <t>Actinomadura atramentaria</t>
        </is>
      </c>
      <c r="AF67" s="5" t="n">
        <v>1990</v>
      </c>
      <c r="AG67" s="5" t="inlineStr">
        <is>
          <t>seq_in_supp</t>
        </is>
      </c>
      <c r="AH67" s="5" t="inlineStr">
        <is>
          <t>ncbi</t>
        </is>
      </c>
      <c r="AI67" s="5" t="n"/>
      <c r="AJ67" s="5" t="n"/>
      <c r="AK67" s="5" t="n"/>
      <c r="AL67" s="5" t="n">
        <v>1</v>
      </c>
    </row>
    <row r="68" ht="15" customHeight="1" s="12">
      <c r="A68" s="5" t="inlineStr">
        <is>
          <t>retrieving_only</t>
        </is>
      </c>
      <c r="B68" s="5" t="inlineStr">
        <is>
          <t>MNRRQFAQTLGAGAAAGGGLSGAQPAGPAGSLTDVPGISVGHFTDSRRPTGCTAILFESAAAAGVDYNGSAPGESQVVMLQPVSPVERIHALFLSGGGIFALPAAGGVIRFLEERNVGFDWGGPDLRIPIVVSAVIDDLAVGNPRVRPDAEAAYRACAAASKAAVAEGNVGAGAGATVGKMHRSRGLGGMKGGLGTASLTLGDVVIGALAVVNAAGDVLDPRTGAIVAGSRRADDSFADSVDVMRGMVTGAAAGPLEDHALRSTTLAVVATNVTLTKTALTKLAMMANCGAARAIRPYHTTGDGDQLFAVSTEGLARPDLQLTVLGALAADLVGEAIVRGVRAASGVDGWPAVRDLAAR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inlineStr">
        <is>
          <t>Nyl71</t>
        </is>
      </c>
      <c r="Z68" s="5" t="inlineStr">
        <is>
          <t>A0A7V9NEU5</t>
        </is>
      </c>
      <c r="AA68" s="5" t="inlineStr">
        <is>
          <t>Direct</t>
        </is>
      </c>
      <c r="AB68" s="5" t="n">
        <v>371</v>
      </c>
      <c r="AC68" s="5" t="inlineStr">
        <is>
          <t>10.1016/j.checat.2025.101418</t>
        </is>
      </c>
      <c r="AD68" s="5" t="inlineStr">
        <is>
          <t>MNRRQFAQTLGAGAAAGGGLSGAQPAGPAGSLTDVPGISVGHFTDSRRPTGCTAILFESAAAAGVDYNGSAPGESQVVMLQPVSPVERIHALFLSGGGIFALPAAGGVIRFLEERNVGFDWGGPDLRIPIVVSAVIDDLAVGNPRVRPDAEAAYRACAAASKAAVAEGNVGAGAGATVGKMHRSRGLGGMKGGLGTASLTLGDVVIGALAVVNAAGDVLDPRTGAIVAGSRRADDSFADSVDVMRGMVTGAAAGPLEDHALRSTTLAVVATNVTLTKTALTKLAMMANCGAARAIRPYHTTGDGDQLFAVSTEGLARPDLQLTVLGALAADLVGEAIVRGVRAASGVDGWPAVRDLAAR</t>
        </is>
      </c>
      <c r="AE68" s="5" t="inlineStr">
        <is>
          <t>Acidobacteriota bacterium</t>
        </is>
      </c>
      <c r="AF68" s="5" t="n">
        <v>1978231</v>
      </c>
      <c r="AG68" s="5" t="inlineStr">
        <is>
          <t>supp_unavailable</t>
        </is>
      </c>
      <c r="AH68" s="5" t="inlineStr">
        <is>
          <t>uniparc</t>
        </is>
      </c>
      <c r="AI68" s="5" t="n"/>
      <c r="AJ68" s="5" t="n"/>
      <c r="AK68" s="5" t="n"/>
      <c r="AL68" s="5" t="n">
        <v>1</v>
      </c>
    </row>
    <row r="69" ht="15" customHeight="1" s="12">
      <c r="A69" s="5" t="inlineStr">
        <is>
          <t>retrieving_only</t>
        </is>
      </c>
      <c r="B69" s="5" t="inlineStr">
        <is>
          <t>MNPSSHEPHALAEIDSGAVIDPAPRLAGAPVFGGPGNGDFDLVPQRSDGRERLRFDFPGVRIGSAHYAEGPTGATVIHLPAGARTAVDARGGAVGLAGGYDFNHAICLAGGSVYGLEAGAGVSDALLERFENRTGFADLQLVSSAIIYDFSARSTSVYPDRELGRAAFDFAVEGEFAQGRAGAGMSASSGKVDWERTEITGQGAAFRQIGDVRILAVVVPNPVGVILDRAGRVVRGNYDAATGERRHPVFDYAEAFAEHRAAETQSGNTTISALITNVKMSTVELNQFAKQVHSSMHRGIQPFHTDMDGDTLFAVTTDEIDLPISPGSSRGRLSVNATALGAIASEVMWDALLEAAK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inlineStr">
        <is>
          <t>NylC1</t>
        </is>
      </c>
      <c r="Z69" s="5" t="inlineStr">
        <is>
          <t>XHH12374</t>
        </is>
      </c>
      <c r="AA69" s="5" t="inlineStr">
        <is>
          <t>Direct</t>
        </is>
      </c>
      <c r="AB69" s="5" t="n">
        <v>246</v>
      </c>
      <c r="AC69" s="5" t="inlineStr">
        <is>
          <t>10.1039/D4GC01662A</t>
        </is>
      </c>
      <c r="AD69" s="5" t="inlineStr">
        <is>
          <t>MNPSSHEPHALAEIDSGAVIDPAPRLAGAPVFGGPGNGDFDLVPQRSDGRERLRFDFPGVRIGSAHYAEGPTGATVIHLPAGARTAVDARGGAVGLAGGYDFNHAICLAGGSVYGLEAGAGVSDALLERFENRTGFADLQLVSSAIIYDFSARSTSVYPDRELGRAAFDFAVEGEFAQGRAGAGMSASSGKVDWERTEITGQGAAFRQIGDVRILAVVVPNPVGVILDRAGRVVRGNYDAATGERRHPVFDYAEAFAEHRAAETQSGNTTISALITNVKMSTVELNQFAKQVHSSMHRGIQPFHTDMDGDTLFAVTTDEIDLPISPGSSRGRLSVNATALGAIASEVMWDALLEAAK</t>
        </is>
      </c>
      <c r="AE69" s="5" t="inlineStr">
        <is>
          <t>Leucobacter chromiiresistens</t>
        </is>
      </c>
      <c r="AF69" s="5" t="n">
        <v>1079994</v>
      </c>
      <c r="AG69" s="5" t="inlineStr">
        <is>
          <t>supp_unavailable</t>
        </is>
      </c>
      <c r="AH69" s="5" t="inlineStr">
        <is>
          <t>ncbi</t>
        </is>
      </c>
      <c r="AI69" s="5" t="n"/>
      <c r="AJ69" s="5" t="n"/>
      <c r="AK69" s="5" t="n"/>
      <c r="AL69" s="5" t="n">
        <v>1</v>
      </c>
    </row>
    <row r="70" ht="15" customHeight="1" s="12">
      <c r="A70" s="5" t="inlineStr">
        <is>
          <t>retrieving_only</t>
        </is>
      </c>
      <c r="B70" s="5" t="inlineStr">
        <is>
          <t>MRPPRPRTRILAWIVAALLVIAGLAAGPSAASA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inlineStr">
        <is>
          <t>DP092</t>
        </is>
      </c>
      <c r="Z70" s="5" t="inlineStr">
        <is>
          <t>WP_139580723.1</t>
        </is>
      </c>
      <c r="AA70" s="5" t="inlineStr">
        <is>
          <t>Direct</t>
        </is>
      </c>
      <c r="AB70" s="5" t="n">
        <v>405</v>
      </c>
      <c r="AC70" s="5" t="inlineStr">
        <is>
          <t>10.1021/acscatal.5c03460</t>
        </is>
      </c>
      <c r="AD70" s="5" t="inlineStr">
        <is>
          <t>MRPPRPRTRILAWIVAALLVIAGLAAGPSAASA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      </is>
      </c>
      <c r="AE70" s="5" t="inlineStr">
        <is>
          <t>Microbispora catharanthi</t>
        </is>
      </c>
      <c r="AF70" s="5" t="n">
        <v>1712871</v>
      </c>
      <c r="AG70" s="5" t="inlineStr">
        <is>
          <t>seq_in_supp</t>
        </is>
      </c>
      <c r="AH70" s="5" t="inlineStr">
        <is>
          <t>ncbi</t>
        </is>
      </c>
      <c r="AI70" s="5" t="n"/>
      <c r="AJ70" s="5" t="n"/>
      <c r="AK70" s="5" t="n"/>
      <c r="AL70" s="5" t="n">
        <v>1</v>
      </c>
    </row>
    <row r="71" ht="15" customHeight="1" s="12">
      <c r="A71" s="5" t="inlineStr">
        <is>
          <t>retrieving_only</t>
        </is>
      </c>
      <c r="B71" s="5" t="inlineStr">
        <is>
          <t>MMKFFNILSIASLAAALPTTSVSEGEHAEAARIMARQLNTIRNDLERGNANDCPRAIFIFARGTTEPGNMGITTGPILAGALEDNFRRDIWVQGVGGPYEASTAPNFLPRGSSEEAIGEAKRLFALAQSKCPNTAVVAGGYSQGAALIAAAVSDLRGATQEQVKGVVLFGYTKNRQNNGRIPNYPAERTKVFCNIGDAVCDGTLIITPSHFLYNIEARGEAARFLTARVGA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inlineStr">
        <is>
          <t>RtC</t>
        </is>
      </c>
      <c r="Z71" s="5" t="n"/>
      <c r="AA71" s="5" t="inlineStr">
        <is>
          <t>Direct</t>
        </is>
      </c>
      <c r="AB71" s="5" t="n">
        <v>232</v>
      </c>
      <c r="AC71" s="5" t="inlineStr">
        <is>
          <t>10.1021/acssuschemeng.4c00060</t>
        </is>
      </c>
      <c r="AD71" s="5" t="inlineStr">
        <is>
          <t>MMKFFNILSIASLAAALPTTSVSEGEHAEAARIMARQLNTIRNDLERGNANDCPRAIFIFARGTTEPGNMGITTGPILAGALEDNFRRDIWVQGVGGPYEASTAPNFLPRGSSEEAIGEAKRLFALAQSKCPNTAVVAGGYSQGAALIAAAVSDLRGATQEQVKGVVLFGYTKNRQNNGRIPNYPAERTKVFCNIGDAVCDGTLIITPSHFLYNIEARGEAARFLTARVGA</t>
        </is>
      </c>
      <c r="AE71" s="5" t="n"/>
      <c r="AF71" s="5" t="n"/>
      <c r="AG71" s="5" t="n"/>
      <c r="AH71" s="5" t="n"/>
      <c r="AI71" s="5" t="n"/>
      <c r="AJ71" s="5" t="n"/>
      <c r="AK71" s="5" t="n"/>
      <c r="AL71" s="5" t="n">
        <v>1</v>
      </c>
    </row>
    <row r="72" ht="15" customHeight="1" s="12">
      <c r="A72" s="5" t="inlineStr">
        <is>
          <t>retrieving_only</t>
        </is>
      </c>
      <c r="B72" s="5" t="inlineStr">
        <is>
          <t>MRGHAPHPPPPGEAHAGRVSPGIRRRLFKLATAGIAAAVGMFTVTVATSSASAADNPYQRGPDPTRASVAAVNGPFVNTSVSVPTGYGFNGGRIYYPTDTSQGTFGAIAISPGYTALFSAELAWMGPWLASHGFVVIGIETNSRNDFDTARGTQLLAALDYLTQQSPVRDRVDPNRLAVSGHSMGGGGALSAAIRRSSLKAAVGITPYSPSQNLANDRVPTMVISGQADTVVTPSYALGLYNSLPASTESVYLEVAGGDHGFMVGRSNPVLIRTMLPFLKMFVDNDSRYSQFLCPLLDSSGVVTYRSTCPLLPTNPTTPPPTGTPTPTPTSTPTPTPTPTTPPPSGSANEIIGTQSGRCIDVPNASRNNGTRVQLYDCNKQTNQSWTYNTTNKQLRVYGDMCLDAAGSGNGTAIQIYTCHNGTNQQWNINSNGTITGVQSGRCLDVWSSNNGAQIQLYDCHGQTNQQ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>
        <v>1545</v>
      </c>
      <c r="Z72" s="5" t="inlineStr">
        <is>
          <t>WP_093411427.1</t>
        </is>
      </c>
      <c r="AA72" s="5" t="inlineStr">
        <is>
          <t>Direct</t>
        </is>
      </c>
      <c r="AB72" s="5" t="n">
        <v>303</v>
      </c>
      <c r="AC72" s="5" t="inlineStr">
        <is>
          <t>10.1126/science.adp5637</t>
        </is>
      </c>
      <c r="AD72" s="5" t="inlineStr">
        <is>
          <t>MRGHAPHPPPPGEAHAGRVSPGIRRRLFKLATAGIAAAVGMFTVTVATSSASAADNPYQRGPDPTRASVAAVNGPFVNTSVSVPTGYGFNGGRIYYPTDTSQGTFGAIAISPGYTALFSAELAWMGPWLASHGFVVIGIETNSRNDFDTARGTQLLAALDYLTQQSPVRDRVDPNRLAVSGHSMGGGGALSAAIRRSSLKAAVGITPYSPSQNLANDRVPTMVISGQADTVVTPSYALGLYNSLPASTESVYLEVAGGDHGFMVGRSNPVLIRTMLPFLKMFVDNDSRYSQFLCPLLDSSGVVTYRSTCPLLPTNPTTPPPTGTPTPTPTSTPTPTPTPTTPPPSGSANEIIGTQSGRCIDVPNASRNNGTRVQLYDCNKQTNQSWTYNTTNKQLRVYGDMCLDAAGSGNGTAIQIYTCHNGTNQQWNINSNGTITGVQSGRCLDVWSSNNGAQIQLYDCHGQTNQQ</t>
        </is>
      </c>
      <c r="AE72" s="5" t="inlineStr">
        <is>
          <t>Micromonospora sediminimaris</t>
        </is>
      </c>
      <c r="AF72" s="5" t="n">
        <v>547162</v>
      </c>
      <c r="AG72" s="5" t="inlineStr">
        <is>
          <t>supp_unavailable</t>
        </is>
      </c>
      <c r="AH72" s="5" t="inlineStr">
        <is>
          <t>ncbi</t>
        </is>
      </c>
      <c r="AI72" s="5" t="n"/>
      <c r="AJ72" s="5" t="n"/>
      <c r="AK72" s="5" t="n"/>
      <c r="AL72" s="5" t="n">
        <v>1</v>
      </c>
    </row>
    <row r="73" ht="15" customHeight="1" s="12">
      <c r="A73" s="5" t="inlineStr">
        <is>
          <t>retrieving_only</t>
        </is>
      </c>
      <c r="B73" s="5" t="inlineStr">
        <is>
          <t>MPERVTLTRPPHPRRNAPLPGHRTNGPVRRLAVTIAAVLGLLVTAVAAVPASAADNPYQRGPAPTLASVAATRGTFATAQMTVSPGNGFNGGTIYYPTDTSLGTWGAVAIVPGYTARFADEEAWMGPWLASFGFVVIGVETNSRTDFDTARGTQLLAALDYLTQKSPVRTRVDPNRLSVIGHSMGGGGALVAAERRPSLKTAVGLAPFKPSGNLAADRVPTMIMGGTADTTVTPSYLDGLHATLPASTENAYLQLTGANHLFPTKPNTLEMRLLIPWLKTFVDSDTRYPQFLCPGPADPTGIASYRGTCPYLPAA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>
        <v>1477</v>
      </c>
      <c r="Z73" s="5" t="inlineStr">
        <is>
          <t>WP_125191182.1</t>
        </is>
      </c>
      <c r="AA73" s="5" t="inlineStr">
        <is>
          <t>Direct</t>
        </is>
      </c>
      <c r="AB73" s="5" t="n">
        <v>289</v>
      </c>
      <c r="AC73" s="5" t="inlineStr">
        <is>
          <t>10.1126/science.adp5637</t>
        </is>
      </c>
      <c r="AD73" s="5" t="inlineStr">
        <is>
          <t>MPERVTLTRPPHPRRNAPLPGHRTNGPVRRLAVTIAAVLGLLVTAVAAVPASAADNPYQRGPAPTLASVAATRGTFATAQMTVSPGNGFNGGTIYYPTDTSLGTWGAVAIVPGYTARFADEEAWMGPWLASFGFVVIGVETNSRTDFDTARGTQLLAALDYLTQKSPVRTRVDPNRLSVIGHSMGGGGALVAAERRPSLKTAVGLAPFKPSGNLAADRVPTMIMGGTADTTVTPSYLDGLHATLPASTENAYLQLTGANHLFPTKPNTLEMRLLIPWLKTFVDSDTRYPQFLCPGPADPTGIASYRGTCPYLPAA</t>
        </is>
      </c>
      <c r="AE73" s="5" t="inlineStr">
        <is>
          <t>Streptomyces sp. RP5T</t>
        </is>
      </c>
      <c r="AF73" s="5" t="n">
        <v>2490848</v>
      </c>
      <c r="AG73" s="5" t="inlineStr">
        <is>
          <t>supp_unavailable</t>
        </is>
      </c>
      <c r="AH73" s="5" t="inlineStr">
        <is>
          <t>ncbi</t>
        </is>
      </c>
      <c r="AI73" s="5" t="n"/>
      <c r="AJ73" s="5" t="n"/>
      <c r="AK73" s="5" t="n"/>
      <c r="AL73" s="5" t="n">
        <v>1</v>
      </c>
    </row>
    <row r="74" ht="15" customHeight="1" s="12">
      <c r="A74" s="5" t="inlineStr">
        <is>
          <t>retrieving_only</t>
        </is>
      </c>
      <c r="B74" s="5" t="inlineStr">
        <is>
          <t>MLEVKEISITDIGGFRIGNAQDYDAMTGVTAIVFDRENTAGIDISGGGPAARESFLFTPLSYKQSITALLLSGGSAYGLAAATGAMQYLEEHGMGYRLADMVIPIVPQSCIFDLSSKTKVRPDAKMGYAACKDAERNALPQSGNVGGGCGASVGKLCGLKRAQKSGIGYYALQVGELKVSAIVIVNALGDVFDFRNGKKVAGAMNAERTAFIDSEEVLYSMQEGMQNKIQEGKNTTIGAVITNAKFSQQEMCKIAAMTRAGLARSINPVGTSADGDTVYAVSCGDIKSDCNLVGTLASRVLSMAILDAVSSSKMTEEEYKRFLQIKGE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inlineStr">
        <is>
          <t>Nyl32</t>
        </is>
      </c>
      <c r="Z74" s="5" t="inlineStr">
        <is>
          <t>A0A351YZM4</t>
        </is>
      </c>
      <c r="AA74" s="5" t="inlineStr">
        <is>
          <t>Direct</t>
        </is>
      </c>
      <c r="AB74" s="5" t="n">
        <v>354</v>
      </c>
      <c r="AC74" s="5" t="inlineStr">
        <is>
          <t>10.1016/j.checat.2025.101418</t>
        </is>
      </c>
      <c r="AD74" s="5" t="inlineStr">
        <is>
          <t>MLEVKEISITDIGGFRIGNAQDYDAMTGVTAIVFDRENTAGIDISGGGPAARESFLFTPLSYKQSITALLLSGGSAYGLAAATGAMQYLEEHGMGYRLADMVIPIVPQSCIFDLSSKTKVRPDAKMGYAACKDAERNALPQSGNVGGGCGASVGKLCGLKRAQKSGIGYYALQVGELKVSAIVIVNALGDVFDFRNGKKVAGAMNAERTAFIDSEEVLYSMQEGMQNKIQEGKNTTIGAVITNAKFSQQEMCKIAAMTRAGLARSINPVGTSADGDTVYAVSCGDIKSDCNLVGTLASRVLSMAILDAVSSSKMTEEEYKRFLQIKGE</t>
        </is>
      </c>
      <c r="AE74" s="5" t="inlineStr">
        <is>
          <t>Treponema sp.</t>
        </is>
      </c>
      <c r="AF74" s="5" t="n">
        <v>166</v>
      </c>
      <c r="AG74" s="5" t="inlineStr">
        <is>
          <t>supp_unavailable</t>
        </is>
      </c>
      <c r="AH74" s="5" t="inlineStr">
        <is>
          <t>uniparc</t>
        </is>
      </c>
      <c r="AI74" s="5" t="n"/>
      <c r="AJ74" s="5" t="n"/>
      <c r="AK74" s="5" t="n"/>
      <c r="AL74" s="5" t="n">
        <v>1</v>
      </c>
    </row>
    <row r="75" ht="15" customHeight="1" s="12">
      <c r="A75" s="5" t="inlineStr">
        <is>
          <t>retrieving_only</t>
        </is>
      </c>
      <c r="B75" s="5" t="inlineStr">
        <is>
          <t>MLEDYAFGVWTDPEAATGLTVIRCPAPGCRASASFLGPAPGTREAALLAPEKPVDRIHALVFTGGSALGLEAASGVARRLAEEGIGHPTRVRPIPIVAAAVIYDLLLGEPRWPDLEAGYRAAKEARPGPPPEGRVGAGAGASAGKYRTPVPTGQGYAEVREGEVRVAALAVPNPVGDVYDEAGRLVAGHGEKRPRPGAPAEHTTLVAVLLEAPIEKPQAKLLADAAQGAIGRVVRPSHTPWDGDASFVLSTARGPQAPLGLLAALVQEAVAAAIVRGARGGEGAPRDR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inlineStr">
        <is>
          <t>Nyl63</t>
        </is>
      </c>
      <c r="Z75" s="5" t="inlineStr">
        <is>
          <t>A0A7C3G8G6</t>
        </is>
      </c>
      <c r="AA75" s="5" t="inlineStr">
        <is>
          <t>Direct</t>
        </is>
      </c>
      <c r="AB75" s="5" t="n">
        <v>367</v>
      </c>
      <c r="AC75" s="5" t="inlineStr">
        <is>
          <t>10.1016/j.checat.2025.101418</t>
        </is>
      </c>
      <c r="AD75" s="5" t="inlineStr">
        <is>
          <t>MLEDYAFGVWTDPEAATGLTVIRCPAPGCRASASFLGPAPGTREAALLAPEKPVDRIHALVFTGGSALGLEAASGVARRLAEEGIGHPTRVRPIPIVAAAVIYDLLLGEPRWPDLEAGYRAAKEARPGPPPEGRVGAGAGASAGKYRTPVPTGQGYAEVREGEVRVAALAVPNPVGDVYDEAGRLVAGHGEKRPRPGAPAEHTTLVAVLLEAPIEKPQAKLLADAAQGAIGRVVRPSHTPWDGDASFVLSTARGPQAPLGLLAALVQEAVAAAIVRGARGGEGAPRDR</t>
        </is>
      </c>
      <c r="AE75" s="5" t="inlineStr">
        <is>
          <t>Oceanithermus sp.</t>
        </is>
      </c>
      <c r="AF75" s="5" t="n">
        <v>2268145</v>
      </c>
      <c r="AG75" s="5" t="inlineStr">
        <is>
          <t>supp_unavailable</t>
        </is>
      </c>
      <c r="AH75" s="5" t="inlineStr">
        <is>
          <t>uniparc</t>
        </is>
      </c>
      <c r="AI75" s="5" t="n"/>
      <c r="AJ75" s="5" t="n"/>
      <c r="AK75" s="5" t="n"/>
      <c r="AL75" s="5" t="n">
        <v>1</v>
      </c>
    </row>
    <row r="76" ht="15" customHeight="1" s="12">
      <c r="A76" s="5" t="inlineStr">
        <is>
          <t>retrieving_only</t>
        </is>
      </c>
      <c r="B76" s="5" t="inlineStr">
        <is>
          <t>MRLLLALTLICVSAYVQCADNKMILKTNFNNLEVGTAEYPDGPTGTTVLYFPRGAIGAIDIRGGAAAVREGSSVQSENTWGWVDAVVLSGGSTMGLEAADGVASEIVKLRGGKIKFDTVPAVPAAIVYDFSGRDNSIYPDKALGAQAFKARKKNEVPYGQVGGGSFVTVGKWLEGVKSERSGQGAAYYEKDGVKILVVTVLNAVGNILDEKNNIIKGSLNEETGERVSITERIRNDAKSLPKKGNTTITAVITNVNLDRLDLKRMGIMSHTSMASVISPFHTPWDGDVLFTLSTREVSQPKGVSAANLGVIASDLLRTAVWRAVGHIK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inlineStr">
        <is>
          <t>Nyl18</t>
        </is>
      </c>
      <c r="Z76" s="5" t="inlineStr">
        <is>
          <t>A0A2E3XQJ6</t>
        </is>
      </c>
      <c r="AA76" s="5" t="inlineStr">
        <is>
          <t>Direct</t>
        </is>
      </c>
      <c r="AB76" s="5" t="n">
        <v>350</v>
      </c>
      <c r="AC76" s="5" t="inlineStr">
        <is>
          <t>10.1016/j.checat.2025.101418</t>
        </is>
      </c>
      <c r="AD76" s="5" t="inlineStr">
        <is>
          <t>MRLLLALTLICVSAYVQCADNKMILKTNFNNLEVGTAEYPDGPTGTTVLYFPRGAIGAIDIRGGAAAVREGSSVQSENTWGWVDAVVLSGGSTMGLEAADGVASEIVKLRGGKIKFDTVPAVPAAIVYDFSGRDNSIYPDKALGAQAFKARKKNEVPYGQVGGGSFVTVGKWLEGVKSERSGQGAAYYEKDGVKILVVTVLNAVGNILDEKNNIIKGSLNEETGERVSITERIRNDAKSLPKKGNTTITAVITNVNLDRLDLKRMGIMSHTSMASVISPFHTPWDGDVLFTLSTREVSQPKGVSAANLGVIASDLLRTAVWRAVGHIK</t>
        </is>
      </c>
      <c r="AE76" s="5" t="inlineStr">
        <is>
          <t>Halobacteriovoraceae bacterium</t>
        </is>
      </c>
      <c r="AF76" s="5" t="n">
        <v>2026745</v>
      </c>
      <c r="AG76" s="5" t="inlineStr">
        <is>
          <t>supp_unavailable</t>
        </is>
      </c>
      <c r="AH76" s="5" t="inlineStr">
        <is>
          <t>uniparc</t>
        </is>
      </c>
      <c r="AI76" s="5" t="n"/>
      <c r="AJ76" s="5" t="n"/>
      <c r="AK76" s="5" t="n"/>
      <c r="AL76" s="5" t="n">
        <v>1</v>
      </c>
    </row>
    <row r="77" ht="15" customHeight="1" s="12">
      <c r="A77" s="5" t="inlineStr">
        <is>
          <t>retrieving_only</t>
        </is>
      </c>
      <c r="B77" s="5" t="inlineStr">
        <is>
          <t>MLDLKLGGLAAACLLVCSTALAAPLPDTPGAPLPAVANFDRSGPYATSNQSEGPSCRIYRPSNLGQGGVRHPVILWGNGTGTGPSTYAGLLSHWASHGFVVAAAETSNAGTGREMLACLDYLVRENDNPYGTYAGKLNTGRVGTSGHSQGGGGSIMAGQDTRVRTTAPIQPYTIGLGHDSASQRRQQGPMFLMSGGGDTIAIPYLNAQPVYLRANVPVFWGERRYVSHFEPVGDGGAYRGPSTAWFRFQLMDDQSARGTFYGTLCSLCSSLLWSVERRGF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inlineStr">
        <is>
          <t>HP</t>
        </is>
      </c>
      <c r="Z77" s="5" t="inlineStr">
        <is>
          <t>ATH80290</t>
        </is>
      </c>
      <c r="AA77" s="5" t="inlineStr">
        <is>
          <t>Direct</t>
        </is>
      </c>
      <c r="AB77" s="5" t="n">
        <v>490</v>
      </c>
      <c r="AC77" s="5" t="inlineStr">
        <is>
          <t>10.1016/j.ibiod.2024.105910</t>
        </is>
      </c>
      <c r="AD77" s="5" t="inlineStr">
        <is>
          <t>MLDLKLGGLAAACLLVCSTALAAPLPDTPGAPLPAVANFDRSGPYATSNQSEGPSCRIYRPSNLGQGGVRHPVILWGNGTGTGPSTYAGLLSHWASHGFVVAAAETSNAGTGREMLACLDYLVRENDNPYGTYAGKLNTGRVGTSGHSQGGGGSIMAGQDTRVRTTAPIQPYTIGLGHDSASQRRQQGPMFLMSGGGDTIAIPYLNAQPVYLRANVPVFWGERRYVSHFEPVGDGGAYRGPSTAWFRFQLMDDQSARGTFYGTLCSLCSSLLWSVERRGF</t>
        </is>
      </c>
      <c r="AE77" s="5" t="inlineStr">
        <is>
          <t>Ectopseudomonas mendocina</t>
        </is>
      </c>
      <c r="AF77" s="5" t="n">
        <v>300</v>
      </c>
      <c r="AG77" s="5" t="inlineStr">
        <is>
          <t>supp_unavailable</t>
        </is>
      </c>
      <c r="AH77" s="5" t="inlineStr">
        <is>
          <t>ncbi</t>
        </is>
      </c>
      <c r="AI77" s="5" t="n"/>
      <c r="AJ77" s="5" t="n"/>
      <c r="AK77" s="5" t="n"/>
      <c r="AL77" s="5" t="n">
        <v>1</v>
      </c>
    </row>
    <row r="78" ht="15" customHeight="1" s="12">
      <c r="A78" s="5" t="inlineStr">
        <is>
          <t>retrieving_only</t>
        </is>
      </c>
      <c r="B78" s="5" t="inlineStr">
        <is>
          <t>MLDLKLGGLAAACLLVCSTALAAPLPDTPGAPFPAVANFDRSGPYATSNQSEGPSCRIYRPSNLGQGGVRHPVILWGNGTGTGPSTYAGLLSHWASHGFVVAAAETSNAGTGREMLACLDYLVRENDNPYGTYAGKLNTGRVGTSGHSQGGGGSIMAGQDTRVRTTAPIQPYTIGLGHDSASQRRQQGPMFLMSGGGDTIAIPYLNAQPVYLRANVPVFWGERRYVSHFEPVGDGGAYRGPSTAWFRFQLMDDQSARGTFYGTLCSLCSSLLWSVERRGF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inlineStr">
        <is>
          <t>PmC</t>
        </is>
      </c>
      <c r="Z78" s="5" t="inlineStr">
        <is>
          <t>ABP86951</t>
        </is>
      </c>
      <c r="AA78" s="5" t="inlineStr">
        <is>
          <t>Direct</t>
        </is>
      </c>
      <c r="AB78" s="5" t="n">
        <v>10</v>
      </c>
      <c r="AC78" s="5" t="inlineStr">
        <is>
          <t>10.1021/ma9005318</t>
        </is>
      </c>
      <c r="AD78" s="5" t="inlineStr">
        <is>
          <t>MLDLKLGGLAAACLLVCSTALAAPLPDTPGAPFPAVANFDRSGPYATSNQSEGPSCRIYRPSNLGQGGVRHPVILWGNGTGTGPSTYAGLLSHWASHGFVVAAAETSNAGTGREMLACLDYLVRENDNPYGTYAGKLNTGRVGTSGHSQGGGGSIMAGQDTRVRTTAPIQPYTIGLGHDSASQRRQQGPMFLMSGGGDTIAIPYLNAQPVYLRANVPVFWGERRYVSHFEPVGDGGAYRGPSTAWFRFQLMDDQSARGTFYGTLCSLCSSLLWSVERRGF</t>
        </is>
      </c>
      <c r="AE78" s="5" t="inlineStr">
        <is>
          <t>Ectopseudomonas mendocina</t>
        </is>
      </c>
      <c r="AF78" s="5" t="n">
        <v>300</v>
      </c>
      <c r="AG78" s="5" t="inlineStr">
        <is>
          <t>supp_unavailable</t>
        </is>
      </c>
      <c r="AH78" s="5" t="inlineStr">
        <is>
          <t>ncbi</t>
        </is>
      </c>
      <c r="AI78" s="5" t="n"/>
      <c r="AJ78" s="5" t="n"/>
      <c r="AK78" s="5" t="n"/>
      <c r="AL78" s="5" t="n">
        <v>1</v>
      </c>
    </row>
    <row r="79" ht="15" customHeight="1" s="12">
      <c r="A79" s="5" t="inlineStr">
        <is>
          <t>retrieving_only</t>
        </is>
      </c>
      <c r="B79" s="5" t="inlineStr">
        <is>
          <t>MRLLPGNTNSITDVEGVRVGSVEHETLLTGTTVVVPTKACTTGVSVSGGAPGSRETDALRSDCLVGLSHAVFLSGGSVFGLDAGSGVTQVLTEQGQGFNAFRPHGVPAVPIVPGCVLFDLGNGGNWKENDEFISPYQELGKKACLQALRQRPFASIRLGNVGAGTGSRAGAYKGGLGSASAIEENGQLQVGALMAVNSYGSPVIPGSDILWASFWEQNREMGGMKEQLYHSFQSKFSIPIGIVEDCKSSMTVHENTVIGVVATNAALFPAEAKRVAIMAHDGIARSIKPSHTLVDGDAIFVLATGNYSLPTFQEGNIHRARVVSLIGAIAADCVTRSIGRAMWEAKSSGMYLSYRDYFKKE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inlineStr">
        <is>
          <t>Nyl83</t>
        </is>
      </c>
      <c r="Z79" s="5" t="inlineStr">
        <is>
          <t>XP_005707592.1</t>
        </is>
      </c>
      <c r="AA79" s="5" t="inlineStr">
        <is>
          <t>Direct</t>
        </is>
      </c>
      <c r="AB79" s="5" t="n">
        <v>376</v>
      </c>
      <c r="AC79" s="5" t="inlineStr">
        <is>
          <t>10.1016/j.checat.2025.101418</t>
        </is>
      </c>
      <c r="AD79" s="5" t="inlineStr">
        <is>
          <t>MRLLPGNTNSITDVEGVRVGSVEHETLLTGTTVVVPTKACTTGVSVSGGAPGSRETDALRSDCLVGLSHAVFLSGGSVFGLDAGSGVTQVLTEQGQGFNAFRPHGVPAVPIVPGCVLFDLGNGGNWKENDEFISPYQELGKKACLQALRQRPFASIRLGNVGAGTGSRAGAYKGGLGSASAIEENGQLQVGALMAVNSYGSPVIPGSDILWASFWEQNREMGGMKEQLYHSFQSKFSIPIGIVEDCKSSMTVHENTVIGVVATNAALFPAEAKRVAIMAHDGIARSIKPSHTLVDGDAIFVLATGNYSLPTFQEGNIHRARVVSLIGAIAADCVTRSIGRAMWEAKSSGMYLSYRDYFKKE</t>
        </is>
      </c>
      <c r="AE79" s="5" t="inlineStr">
        <is>
          <t>Galdieria sulphuraria</t>
        </is>
      </c>
      <c r="AF79" s="5" t="n">
        <v>130081</v>
      </c>
      <c r="AG79" s="5" t="inlineStr">
        <is>
          <t>supp_unavailable</t>
        </is>
      </c>
      <c r="AH79" s="5" t="inlineStr">
        <is>
          <t>ncbi</t>
        </is>
      </c>
      <c r="AI79" s="5" t="n"/>
      <c r="AJ79" s="5" t="n"/>
      <c r="AK79" s="5" t="n"/>
      <c r="AL79" s="5" t="n">
        <v>1</v>
      </c>
    </row>
    <row r="80" ht="15" customHeight="1" s="12">
      <c r="A80" s="5" t="inlineStr">
        <is>
          <t>retrieving_only</t>
        </is>
      </c>
      <c r="B80" s="5" t="inlineStr">
        <is>
          <t>MLDKFKIGHADNDNTGVTVILSEGGATGGVHVMGGAPATRETDLLKSGTTVQKINAVVLAGGSAYGLEAASGVMEYLREKGFGYDAGGYIVPIVTGACIYDLEKGDFDYPKKEMGYEACRLAKENNFFSGSFGGGKCATVGKILGMKCAENGGVGVAFTKTGGAEMAVITVVNALGDVVDKNGDVIAGAKVMGLHIGAKKAIETRGKIQNLTAKNTTISCILTNAKLTKTEVNRLCEIAHDGYAMAISPVHTMYDGDAIFGMASGEVEADFFSMCVAAPGLVAEAIRNAVKKDKKKKNEESL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inlineStr">
        <is>
          <t>Nyl85</t>
        </is>
      </c>
      <c r="Z80" s="5" t="inlineStr">
        <is>
          <t>R5FI29</t>
        </is>
      </c>
      <c r="AA80" s="5" t="inlineStr">
        <is>
          <t>Direct</t>
        </is>
      </c>
      <c r="AB80" s="5" t="n">
        <v>378</v>
      </c>
      <c r="AC80" s="5" t="inlineStr">
        <is>
          <t>10.1016/j.checat.2025.101418</t>
        </is>
      </c>
      <c r="AD80" s="5" t="inlineStr">
        <is>
          <t>MLDKFKIGHADNDNTGVTVILSEGGATGGVHVMGGAPATRETDLLKSGTTVQKINAVVLAGGSAYGLEAASGVMEYLREKGFGYDAGGYIVPIVTGACIYDLEKGDFDYPKKEMGYEACRLAKENNFFSGSFGGGKCATVGKILGMKCAENGGVGVAFTKTGGAEMAVITVVNALGDVVDKNGDVIAGAKVMGLHIGAKKAIETRGKIQNLTAKNTTISCILTNAKLTKTEVNRLCEIAHDGYAMAISPVHTMYDGDAIFGMASGEVEADFFSMCVAAPGLVAEAIRNAVKKDKKKKNEESL</t>
        </is>
      </c>
      <c r="AE80" s="5" t="inlineStr">
        <is>
          <t>Faecalibacterium sp. CAG:1138</t>
        </is>
      </c>
      <c r="AF80" s="5" t="n">
        <v>1262896</v>
      </c>
      <c r="AG80" s="5" t="inlineStr">
        <is>
          <t>supp_unavailable</t>
        </is>
      </c>
      <c r="AH80" s="5" t="inlineStr">
        <is>
          <t>uniparc</t>
        </is>
      </c>
      <c r="AI80" s="5" t="n"/>
      <c r="AJ80" s="5" t="n"/>
      <c r="AK80" s="5" t="n"/>
      <c r="AL80" s="5" t="n">
        <v>1</v>
      </c>
    </row>
    <row r="81" ht="15" customHeight="1" s="12">
      <c r="A81" s="5" t="inlineStr">
        <is>
          <t>retrieving_only</t>
        </is>
      </c>
      <c r="B81" s="5" t="inlineStr">
        <is>
          <t>MRKYPTSSRWIAALSFAAMGLFSTQLLA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>
        <v>412</v>
      </c>
      <c r="Z81" s="5" t="inlineStr">
        <is>
          <t>WP_158643351.1</t>
        </is>
      </c>
      <c r="AA81" s="5" t="inlineStr">
        <is>
          <t>Direct</t>
        </is>
      </c>
      <c r="AB81" s="5" t="n">
        <v>146</v>
      </c>
      <c r="AC81" s="5" t="inlineStr">
        <is>
          <t>10.1038/s41467-022-35237-x</t>
        </is>
      </c>
      <c r="AD81" s="5" t="inlineStr">
        <is>
          <t>MRKYPTSSRWIAALSFAAMGLFSTQLLA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  <c r="AE81" s="5" t="inlineStr">
        <is>
          <t>Ketobacter alkanivorans</t>
        </is>
      </c>
      <c r="AF81" s="5" t="n">
        <v>1917421</v>
      </c>
      <c r="AG81" s="5" t="inlineStr">
        <is>
          <t>supp_unavailable</t>
        </is>
      </c>
      <c r="AH81" s="5" t="inlineStr">
        <is>
          <t>ncbi</t>
        </is>
      </c>
      <c r="AI81" s="5" t="n"/>
      <c r="AJ81" s="5" t="n"/>
      <c r="AK81" s="5" t="n"/>
      <c r="AL81" s="5" t="n">
        <v>1</v>
      </c>
    </row>
    <row r="82" ht="15" customHeight="1" s="12">
      <c r="A82" s="5" t="inlineStr">
        <is>
          <t>retrieving_only</t>
        </is>
      </c>
      <c r="B82" s="5" t="inlineStr">
        <is>
          <t>MLDAIQIGHYSDLTNGTGCSVIIPPEGNVASACAFGAAPGTREIALLQPDKKVQEIHALVLTGGSAFGLASAQGVMEELARMGKGFRTAYGVVPIVPAAVVFDKNVGSAQVFPGPDEGREALFSATNDFGKMGNIGAGSGVTAGKWAGLNFAMKSGLGVAQITNGPLEFLAITVVNAVGDVVDNQGRILAGALNSNGRFLAAENPALRWQNPEVGMNQNTVLSAVFTNVKLSKTEAHYLAKRVHLALARRIVPSHTSFDGDVSFVVSVPQTEASIDLAAAILSEAVEQSVTNAVIHCEGMFGLKGFKDLRGHNDR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inlineStr">
        <is>
          <t>Nyl57</t>
        </is>
      </c>
      <c r="Z82" s="5" t="inlineStr">
        <is>
          <t>A0A661XAJ6</t>
        </is>
      </c>
      <c r="AA82" s="5" t="inlineStr">
        <is>
          <t>Direct</t>
        </is>
      </c>
      <c r="AB82" s="5" t="n">
        <v>364</v>
      </c>
      <c r="AC82" s="5" t="inlineStr">
        <is>
          <t>10.1016/j.checat.2025.101418</t>
        </is>
      </c>
      <c r="AD82" s="5" t="inlineStr">
        <is>
          <t>MLDAIQIGHYSDLTNGTGCSVIIPPEGNVASACAFGAAPGTREIALLQPDKKVQEIHALVLTGGSAFGLASAQGVMEELARMGKGFRTAYGVVPIVPAAVVFDKNVGSAQVFPGPDEGREALFSATNDFGKMGNIGAGSGVTAGKWAGLNFAMKSGLGVAQITNGPLEFLAITVVNAVGDVVDNQGRILAGALNSNGRFLAAENPALRWQNPEVGMNQNTVLSAVFTNVKLSKTEAHYLAKRVHLALARRIVPSHTSFDGDVSFVVSVPQTEASIDLAAAILSEAVEQSVTNAVIHCEGMFGLKGFKDLRGHNDR</t>
        </is>
      </c>
      <c r="AE82" s="5" t="inlineStr">
        <is>
          <t>Candidatus Zhuqueibacterota bacterium</t>
        </is>
      </c>
      <c r="AF82" s="5" t="n">
        <v>2172550</v>
      </c>
      <c r="AG82" s="5" t="inlineStr">
        <is>
          <t>supp_unavailable</t>
        </is>
      </c>
      <c r="AH82" s="5" t="inlineStr">
        <is>
          <t>uniparc</t>
        </is>
      </c>
      <c r="AI82" s="5" t="n"/>
      <c r="AJ82" s="5" t="n"/>
      <c r="AK82" s="5" t="n"/>
      <c r="AL82" s="5" t="n">
        <v>1</v>
      </c>
    </row>
    <row r="83" ht="15" customHeight="1" s="12">
      <c r="A83" s="5" t="inlineStr">
        <is>
          <t>retrieving_only</t>
        </is>
      </c>
      <c r="B83" s="5" t="inlineStr">
        <is>
          <t>MSLANRDLTNISQKSSDPEDSASRKTGTVRNIDTFAAPTPVKTGVDTPLPHGIVVGNAEDERAGTGCTVLLCPKGGTGAVAVRGGAPATLETDLLRPENMVQTINAIVLSGGSAYGLDASSGVMRYLEERKIGFCFKDIYVPIVCAASLFDLTVGDSSIRPNPEMGYNACESAFSDHICVGSVGAGCGASVGKLLGERYAMKGGLGAAGISMADGLVISAFVAVNAVGTVIHRESSIPLAGVLDPTTDGRSILTDRVTIERLASGVDTSSGGNTTIGCVVTSAILNKAEATRIASVVHDAFARAIDPVHTSNDGDTVFVLCTNDISANPDTVGVYATDVMEQAIYNAVLSAKGGYDLKAAVDLL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inlineStr">
        <is>
          <t>Nyl74</t>
        </is>
      </c>
      <c r="Z83" s="5" t="inlineStr">
        <is>
          <t>A0A7X7N2B0</t>
        </is>
      </c>
      <c r="AA83" s="5" t="inlineStr">
        <is>
          <t>Direct</t>
        </is>
      </c>
      <c r="AB83" s="5" t="n">
        <v>374</v>
      </c>
      <c r="AC83" s="5" t="inlineStr">
        <is>
          <t>10.1016/j.checat.2025.101418</t>
        </is>
      </c>
      <c r="AD83" s="5" t="inlineStr">
        <is>
          <t>MSLANRDLTNISQKSSDPEDSASRKTGTVRNIDTFAAPTPVKTGVDTPLPHGIVVGNAEDERAGTGCTVLLCPKGGTGAVAVRGGAPATLETDLLRPENMVQTINAIVLSGGSAYGLDASSGVMRYLEERKIGFCFKDIYVPIVCAASLFDLTVGDSSIRPNPEMGYNACESAFSDHICVGSVGAGCGASVGKLLGERYAMKGGLGAAGISMADGLVISAFVAVNAVGTVIHRESSIPLAGVLDPTTDGRSILTDRVTIERLASGVDTSSGGNTTIGCVVTSAILNKAEATRIASVVHDAFARAIDPVHTSNDGDTVFVLCTNDISANPDTVGVYATDVMEQAIYNAVLSAKGGYDLKAAVDLL</t>
        </is>
      </c>
      <c r="AE83" s="5" t="inlineStr">
        <is>
          <t>Coriobacteriaceae bacterium</t>
        </is>
      </c>
      <c r="AF83" s="5" t="n">
        <v>2011094</v>
      </c>
      <c r="AG83" s="5" t="inlineStr">
        <is>
          <t>supp_unavailable</t>
        </is>
      </c>
      <c r="AH83" s="5" t="inlineStr">
        <is>
          <t>uniparc</t>
        </is>
      </c>
      <c r="AI83" s="5" t="n"/>
      <c r="AJ83" s="5" t="n"/>
      <c r="AK83" s="5" t="n"/>
      <c r="AL83" s="5" t="n">
        <v>1</v>
      </c>
    </row>
    <row r="84" ht="15" customHeight="1" s="12">
      <c r="A84" s="5" t="inlineStr">
        <is>
          <t>retrieving_only</t>
        </is>
      </c>
      <c r="B84" s="5" t="inlineStr">
        <is>
          <t>MKVFRARNMAGVLAAVALTAAGITLVPSANAATTSFQRGPAPTTASIQATSGPFATSQTTVSRISVTGFGGGDIYYPTSTSSGTFGAVAIAPGYTALRSSMAWLAPRIASQGFVVFNIDTLTTSDQPATRGTELLAALDYLTTRSTVRTRIDTTRLAVMGHSMGGGGTLEAAKSRPSLQAAIPLTPWDLNKSFAGLAVPTLIIGAQADTVAPVSQHAKPFFTSLPSGLDKAYLELAGASHFAPNTSNTTIASISIAWLKRFVDDDTRYDQFLCPGPTVGTAVSQFTTNCPHIS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inlineStr">
        <is>
          <t>ESM156</t>
        </is>
      </c>
      <c r="Z84" s="5" t="inlineStr">
        <is>
          <t>WP_203812622.1</t>
        </is>
      </c>
      <c r="AA84" s="5" t="inlineStr">
        <is>
          <t>Direct</t>
        </is>
      </c>
      <c r="AB84" s="5" t="n">
        <v>444</v>
      </c>
      <c r="AC84" s="5" t="inlineStr">
        <is>
          <t>10.1021/acscatal.5c03460</t>
        </is>
      </c>
      <c r="AD84" s="5" t="inlineStr">
        <is>
          <t>MKVFRARNMAGVLAAVALTAAGITLVPSANAATTSFQRGPAPTTASIQATSGPFATSQTTVSRISVTGFGGGDIYYPTSTSSGTFGAVAIAPGYTALRSSMAWLAPRIASQGFVVFNIDTLTTSDQPATRGTELLAALDYLTTRSTVRTRIDTTRLAVMGHSMGGGGTLEAAKSRPSLQAAIPLTPWDLNKSFAGLAVPTLIIGAQADTVAPVSQHAKPFFTSLPSGLDKAYLELAGASHFAPNTSNTTIASISIAWLKRFVDDDTRYDQFLCPGPTVGTAVSQFTTNCPHIS</t>
        </is>
      </c>
      <c r="AE84" s="5" t="inlineStr">
        <is>
          <t>Paractinoplanes tereljensis</t>
        </is>
      </c>
      <c r="AF84" s="5" t="n">
        <v>571912</v>
      </c>
      <c r="AG84" s="5" t="inlineStr">
        <is>
          <t>seq_in_supp</t>
        </is>
      </c>
      <c r="AH84" s="5" t="inlineStr">
        <is>
          <t>ncbi</t>
        </is>
      </c>
      <c r="AI84" s="5" t="n"/>
      <c r="AJ84" s="5" t="n"/>
      <c r="AK84" s="5" t="n"/>
      <c r="AL84" s="5" t="n">
        <v>1</v>
      </c>
    </row>
    <row r="85" ht="15" customHeight="1" s="12">
      <c r="A85" s="5" t="inlineStr">
        <is>
          <t>retrieving_only</t>
        </is>
      </c>
      <c r="B85" s="5" t="inlineStr">
        <is>
          <t>MKTRENTILEVPGIKVGQVSDLEALTGCTVILCERGAVCGVDVRGGAPGSRETDLLRPENLVDKVHAVFLAGGSAFGLDGASGVMEYLEEKGLGFDVGVTHVPIVPASVLFDLTVGNYKVRPDKGMGYKACEKATDEYVEQGNVGAGTGATVGKILGMKNCMKSGLGTYAKKVGNLVVGAIVAVNALGDVVDPGNGEILAGALKDDLKEFADTLKIMEKLDIQEEGKNVFIGNTTIGVVATNARLTKAEAKKVASMAHNGLAKTIRPCHTMYDGDTIYALSTADLKADINLVGSLACEVMAQAVINAVINARGIGGLKSYNDIKMG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inlineStr">
        <is>
          <t>TvgC</t>
        </is>
      </c>
      <c r="Z85" s="5" t="inlineStr">
        <is>
          <t>WP_068749367</t>
        </is>
      </c>
      <c r="AA85" s="5" t="inlineStr">
        <is>
          <t>Direct</t>
        </is>
      </c>
      <c r="AB85" s="5" t="n">
        <v>245</v>
      </c>
      <c r="AC85" s="5" t="inlineStr">
        <is>
          <t>10.1002/anie.202414842</t>
        </is>
      </c>
      <c r="AD85" s="5" t="inlineStr">
        <is>
          <t>MKTRENTILEVPGIKVGQVSDLEALTGCTVILCERGAVCGVDVRGGAPGSRETDLLRPENLVDKVHAVFLAGGSAFGLDGASGVMEYLEEKGLGFDVGVTHVPIVPASVLFDLTVGNYKVRPDKGMGYKACEKATDEYVEQGNVGAGTGATVGKILGMKNCMKSGLGTYAKKVGNLVVGAIVAVNALGDVVDPGNGEILAGALKDDLKEFADTLKIMEKLDIQEEGKNVFIGNTTIGVVATNARLTKAEAKKVASMAHNGLAKTIRPCHTMYDGDTIYALSTADLKADINLVGSLACEVMAQAVINAVINARGIGGLKSYNDIKMG</t>
        </is>
      </c>
      <c r="AE85" s="5" t="inlineStr">
        <is>
          <t>Thermovenabulum gondwanense</t>
        </is>
      </c>
      <c r="AF85" s="5" t="n">
        <v>520767</v>
      </c>
      <c r="AG85" s="5" t="inlineStr">
        <is>
          <t>supp_unavailable</t>
        </is>
      </c>
      <c r="AH85" s="5" t="inlineStr">
        <is>
          <t>ncbi</t>
        </is>
      </c>
      <c r="AI85" s="5" t="n"/>
      <c r="AJ85" s="5" t="n"/>
      <c r="AK85" s="5" t="n"/>
      <c r="AL85" s="5" t="n">
        <v>1</v>
      </c>
    </row>
    <row r="86" ht="15" customHeight="1" s="12">
      <c r="A86" s="5" t="inlineStr">
        <is>
          <t>retrieving_only</t>
        </is>
      </c>
      <c r="B86" s="5" t="inlineStr">
        <is>
          <t>MKTNRRTLMLTGIAMTIGTAGRAAQATPEFKPQPGPLSIKSAAAISFRVEDQAKDLQIRVTYPDGPGPWPAIIFSHGAMSSKDFYNRVADHWATHGYATILPTHLDSESLGYSFKNPLPREKVFFGRIGDMQFILNHLDEIAGKAGIAGKIEKTKLAVAGHSFGGWTSLILAGLPVKMPDGSLKSFADSRIKALVSYNGIGPMDEIPDAAWAKVAIPVFAASGTNDPGATGSGPVHPWRWRIGAYDYAGSKEKYAVSITMGDHYYGGLICREGAGGKPDPEGLSFVNGSSTAFMDAYLKDDKSAKKFLRTADLRPLTNDRAFLERS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inlineStr">
        <is>
          <t>APET-23</t>
        </is>
      </c>
      <c r="Z86" s="5" t="inlineStr">
        <is>
          <t>MSQ87502.1</t>
        </is>
      </c>
      <c r="AA86" s="5" t="inlineStr">
        <is>
          <t>Direct</t>
        </is>
      </c>
      <c r="AB86" s="5" t="n">
        <v>262</v>
      </c>
      <c r="AC86" s="5" t="inlineStr">
        <is>
          <t>10.1038/s41467-025-61599-z</t>
        </is>
      </c>
      <c r="AD86" s="5" t="inlineStr">
        <is>
          <t>MKTNRRTLMLTGIAMTIGTAGRAAQATPEFKPQPGPLSIKSAAAISFRVEDQAKDLQIRVTYPDGPGPWPAIIFSHGAMSSKDFYNRVADHWATHGYATILPTHLDSESLGYSFKNPLPREKVFFGRIGDMQFILNHLDEIAGKAGIAGKIEKTKLAVAGHSFGGWTSLILAGLPVKMPDGSLKSFADSRIKALVSYNGIGPMDEIPDAAWAKVAIPVFAASGTNDPGATGSGPVHPWRWRIGAYDYAGSKEKYAVSITMGDHYYGGLICREGAGGKPDPEGLSFVNGSSTAFMDAYLKDDKSAKKFLRTADLRPLTNDRAFLERS</t>
        </is>
      </c>
      <c r="AE86" s="5" t="inlineStr">
        <is>
          <t>Alphaproteobacteria bacterium</t>
        </is>
      </c>
      <c r="AF86" s="5" t="n">
        <v>1913988</v>
      </c>
      <c r="AG86" s="5" t="inlineStr">
        <is>
          <t>supp_unavailable</t>
        </is>
      </c>
      <c r="AH86" s="5" t="inlineStr">
        <is>
          <t>ncbi</t>
        </is>
      </c>
      <c r="AI86" s="5" t="n"/>
      <c r="AJ86" s="5" t="n"/>
      <c r="AK86" s="5" t="n"/>
      <c r="AL86" s="5" t="n">
        <v>1</v>
      </c>
    </row>
    <row r="87" ht="15" customHeight="1" s="12">
      <c r="A87" s="5" t="inlineStr">
        <is>
          <t>retrieving_only</t>
        </is>
      </c>
      <c r="B87" s="5" t="inlineStr">
        <is>
          <t>MKTLQKLFITAVFLFSFFAVSLSIQPEQQVRAETRGNDYPIVLVHGLGGWGKGELLGYRYWGGLKDIEFYLNQTGHRTYVATVGPVSSNWDRAVELYYYIKGGTVDYGAAHAKEHGHARFGRTYPGIYGQWDETNKIHLIGHSMGGQTSRMLVELLKSGSQKEQEYYNEHPEEGISPLFTGGKNWVHSVTSLATPHNGSTFADQDQIVSFIKDFIIHLASAAGQKQESLIYDFKLDQWGLKRQPGESFHAYMNRVMTSPIWQSNDISAYDLTTFGAQELNQWVKTYPDVYYLSYTGNATYRGVVTGNYYPIGTMHPLFTLISMQMGSYTRQSPAPVIDRSWLPNDGIVNVVSAKYPFGHPNSPYDGTIKQGVWNSFPVMEGWDHMDFINFVGSNTPGYFSIYGYYNDVANRVHSLPK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inlineStr">
        <is>
          <t>JW45_1534</t>
        </is>
      </c>
      <c r="Z87" s="5" t="n"/>
      <c r="AA87" s="5" t="inlineStr">
        <is>
          <t>Direct</t>
        </is>
      </c>
      <c r="AB87" s="5" t="n">
        <v>488</v>
      </c>
      <c r="AC87" s="5" t="inlineStr">
        <is>
          <t>10.1021/acs.est.4c07279</t>
        </is>
      </c>
      <c r="AD87" s="5" t="inlineStr">
        <is>
          <t>MKTLQKLFITAVFLFSFFAVSLSIQPEQQVRAETRGNDYPIVLVHGLGGWGKGELLGYRYWGGLKDIEFYLNQTGHRTYVATVGPVSSNWDRAVELYYYIKGGTVDYGAAHAKEHGHARFGRTYPGIYGQWDETNKIHLIGHSMGGQTSRMLVELLKSGSQKEQEYYNEHPEEGISPLFTGGKNWVHSVTSLATPHNGSTFADQDQIVSFIKDFIIHLASAAGQKQESLIYDFKLDQWGLKRQPGESFHAYMNRVMTSPIWQSNDISAYDLTTFGAQELNQWVKTYPDVYYLSYTGNATYRGVVTGNYYPIGTMHPLFTLISMQMGSYTRQSPAPVIDRSWLPNDGIVNVVSAKYPFGHPNSPYDGTIKQGVWNSFPVMEGWDHMDFINFVGSNTPGYFSIYGYYNDVANRVHSLPK</t>
        </is>
      </c>
      <c r="AE87" s="5" t="n"/>
      <c r="AF87" s="5" t="n"/>
      <c r="AG87" s="5" t="n"/>
      <c r="AH87" s="5" t="n"/>
      <c r="AI87" s="5" t="n"/>
      <c r="AJ87" s="5" t="n"/>
      <c r="AK87" s="5" t="n"/>
      <c r="AL87" s="5" t="n">
        <v>1</v>
      </c>
    </row>
    <row r="88" ht="15" customHeight="1" s="12">
      <c r="A88" s="5" t="inlineStr">
        <is>
          <t>retrieving_only</t>
        </is>
      </c>
      <c r="B88" s="5" t="inlineStr">
        <is>
          <t>MKSVLARARLVAAATAMLAFAAWALVSAAPAVEAQSNPYQRGPNPTRSALTADGPFSVSTYSVSGLSVSGFGGGVIYYPTGTTLTFGGIAMSPGYTASSSSLAWLGRRLASHGFVVLVIDTITRLDFPDSRASQLSAALNYLRTSSPSTVRARLDGTRLAVAGHSMGGGGTLRVSEQLPSLKAGVPLTPWHTDKTFNTSVPQLIVGAENDSVAPVSQHAIPFYQNLPSTTPKVYVELNNASHFAPNTSNATISVYTISWMKLWVDNDTRYRPFLCNVSDASLSDFRSNNRHCQ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inlineStr">
        <is>
          <t>DIEGO</t>
        </is>
      </c>
      <c r="Z88" s="5" t="inlineStr">
        <is>
          <t>YCL34723</t>
        </is>
      </c>
      <c r="AA88" s="5" t="inlineStr">
        <is>
          <t>Direct</t>
        </is>
      </c>
      <c r="AB88" s="5" t="n">
        <v>483</v>
      </c>
      <c r="AC88" s="5" t="inlineStr">
        <is>
          <t>10.1016/j.eti.2025.104587</t>
        </is>
      </c>
      <c r="AD88" s="5" t="inlineStr">
        <is>
          <t>MKSVLARARLVAAATAMLAFAAWALVSAAPAVEAQSNPYQRGPNPTRSALTADGPFSVSTYSVSGLSVSGFGGGVIYYPTGTTLTFGGIAMSPGYTASSSSLAWLGRRLASHGFVVLVIDTITRLDFPDSRASQLSAALNYLRTSSPSTVRARLDGTRLAVAGHSMGGGGTLRVSEQLPSLKAGVPLTPWHTDKTFNTSVPQLIVGAENDSVAPVSQHAIPFYQNLPSTTPKVYVELNNASHFAPNTSNATISVYTISWMKLWVDNDTRYRPFLCNVSDASLSDFRSNNRHCQ</t>
        </is>
      </c>
      <c r="AE88" s="5" t="inlineStr">
        <is>
          <t>uncultured bacterium</t>
        </is>
      </c>
      <c r="AF88" s="5" t="n">
        <v>77133</v>
      </c>
      <c r="AG88" s="5" t="inlineStr">
        <is>
          <t>supp_unavailable</t>
        </is>
      </c>
      <c r="AH88" s="5" t="inlineStr">
        <is>
          <t>ncbi</t>
        </is>
      </c>
      <c r="AI88" s="5" t="n"/>
      <c r="AJ88" s="5" t="n"/>
      <c r="AK88" s="5" t="n"/>
      <c r="AL88" s="5" t="n">
        <v>1</v>
      </c>
    </row>
    <row r="89" ht="15" customHeight="1" s="12">
      <c r="A89" s="5" t="inlineStr">
        <is>
          <t>retrieving_only</t>
        </is>
      </c>
      <c r="B89" s="5" t="inlineStr">
        <is>
          <t>MKSSGSAFRDPSGTVPTGRPAGRSWRYALALVAATTTLVALTVAGGTQQATGADNPYQRGPDPTRASVSANRGTFATAQVSVPAGNGFGGGVIYYPTDTSQGRFGAIAVVPGYTATWAAEGAWMGHWLASFGFVVIGIDTNSRNDWDNARGTQLLAALDYLTQRSSVRDRVDASRTSVMGHSMGGGGAANASLQRPTLKTAIGLAPASFSQNLTTTKVPTMLLAGQYDGTVTPSSVLNLYNGIPAGVEKAYLELTGAGHGFPTSNNPTMMRTIIPWFKIFVDSDTRYTQFLCPLADTNGIRTYQSTCPLVPSTPPTSTSTTTTTTGVPTGSTYVGQQSGRCLDVTGQSQTNGAKAQLWDCNGQSNQKWTLTSAAELRVYGGKCLDLPSNSAAGTQAQIWDCNGQSNQKWTHGTDGSIRHTQTGLCLDANGQGTANGTQVNSWNCNGQTNQKWTRR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>
        <v>1491</v>
      </c>
      <c r="Z89" s="5" t="inlineStr">
        <is>
          <t>WP_082403176.1</t>
        </is>
      </c>
      <c r="AA89" s="5" t="inlineStr">
        <is>
          <t>Direct</t>
        </is>
      </c>
      <c r="AB89" s="5" t="n">
        <v>287</v>
      </c>
      <c r="AC89" s="5" t="inlineStr">
        <is>
          <t>10.1126/science.adp5637</t>
        </is>
      </c>
      <c r="AD89" s="5" t="inlineStr">
        <is>
          <t>MKSSGSAFRDPSGTVPTGRPAGRSWRYALALVAATTTLVALTVAGGTQQATGADNPYQRGPDPTRASVSANRGTFATAQVSVPAGNGFGGGVIYYPTDTSQGRFGAIAVVPGYTATWAAEGAWMGHWLASFGFVVIGIDTNSRNDWDNARGTQLLAALDYLTQRSSVRDRVDASRTSVMGHSMGGGGAANASLQRPTLKTAIGLAPASFSQNLTTTKVPTMLLAGQYDGTVTPSSVLNLYNGIPAGVEKAYLELTGAGHGFPTSNNPTMMRTIIPWFKIFVDSDTRYTQFLCPLADTNGIRTYQSTCPLVPSTPPTSTSTTTTTTGVPTGSTYVGQQSGRCLDVTGQSQTNGAKAQLWDCNGQSNQKWTLTSAAELRVYGGKCLDLPSNSAAGTQAQIWDCNGQSNQKWTHGTDGSIRHTQTGLCLDANGQGTANGTQVNSWNCNGQTNQKWTRR</t>
        </is>
      </c>
      <c r="AE89" s="5" t="inlineStr">
        <is>
          <t>Saccharothrix sp. NRRL B-16348</t>
        </is>
      </c>
      <c r="AF89" s="5" t="n">
        <v>1415542</v>
      </c>
      <c r="AG89" s="5" t="inlineStr">
        <is>
          <t>supp_unavailable</t>
        </is>
      </c>
      <c r="AH89" s="5" t="inlineStr">
        <is>
          <t>ncbi</t>
        </is>
      </c>
      <c r="AI89" s="5" t="n"/>
      <c r="AJ89" s="5" t="n"/>
      <c r="AK89" s="5" t="n"/>
      <c r="AL89" s="5" t="n">
        <v>1</v>
      </c>
    </row>
    <row r="90" ht="15" customHeight="1" s="12">
      <c r="A90" s="5" t="inlineStr">
        <is>
          <t>retrieving_only</t>
        </is>
      </c>
      <c r="B90" s="5" t="inlineStr">
        <is>
          <t>MLAGLAASPAHAALNPYQRGPDPTDALLEAPRGPFATASTTVSRLSVSGFGGGVIYYPTDTSQGTFGGIAISPGYTASWSSLDWLGPRIASHGFVVIGIDTLSRYDQPASRGRQLLAALDYLTQRSSVRGRVDASRLAVAGHSMGGGGSLEAADSRPSLQAAVPLAPWHTTKNWSGVRVPTMIIGGESDSVAPVSTHSELFYASIPASSEKAYLELNGASHFFPNTTNTTMAKSMVSWLKRFVDDDVRYDPFLCPGPDGSAVEEYRQTCPLS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>
        <v>385</v>
      </c>
      <c r="Z90" s="5" t="inlineStr">
        <is>
          <t>WP_143590710.1</t>
        </is>
      </c>
      <c r="AA90" s="5" t="inlineStr">
        <is>
          <t>Direct</t>
        </is>
      </c>
      <c r="AB90" s="5" t="n">
        <v>293</v>
      </c>
      <c r="AC90" s="5" t="inlineStr">
        <is>
          <t>10.1126/science.adp5637</t>
        </is>
      </c>
      <c r="AD90" s="5" t="inlineStr">
        <is>
          <t>MLAGLAASPAHAALNPYQRGPDPTDALLEAPRGPFATASTTVSRLSVSGFGGGVIYYPTDTSQGTFGGIAISPGYTASWSSLDWLGPRIASHGFVVIGIDTLSRYDQPASRGRQLLAALDYLTQRSSVRGRVDASRLAVAGHSMGGGGSLEAADSRPSLQAAVPLAPWHTTKNWSGVRVPTMIIGGESDSVAPVSTHSELFYASIPASSEKAYLELNGASHFFPNTTNTTMAKSMVSWLKRFVDDDVRYDPFLCPGPDGSAVEEYRQTCPLS</t>
        </is>
      </c>
      <c r="AE90" s="5" t="inlineStr">
        <is>
          <t>Thermoactinospora rubra</t>
        </is>
      </c>
      <c r="AF90" s="5" t="n">
        <v>1088767</v>
      </c>
      <c r="AG90" s="5" t="inlineStr">
        <is>
          <t>supp_unavailable</t>
        </is>
      </c>
      <c r="AH90" s="5" t="inlineStr">
        <is>
          <t>ncbi</t>
        </is>
      </c>
      <c r="AI90" s="5" t="n"/>
      <c r="AJ90" s="5" t="n"/>
      <c r="AK90" s="5" t="n"/>
      <c r="AL90" s="5" t="n">
        <v>1</v>
      </c>
    </row>
    <row r="91" ht="15" customHeight="1" s="12">
      <c r="A91" s="5" t="inlineStr">
        <is>
          <t>retrieving_only</t>
        </is>
      </c>
      <c r="B91" s="5" t="inlineStr">
        <is>
          <t>MRISKKIAVAIPAALAIAGAGVVVAIPDAGAAQTSQVVTANPHQRGPDPTPETVRAPQGTFAFSTYSVPASVTGFGQGTIYYPDDTTQGTFAGVAISPGYTGPEASVAWLGPRLASRGFVVITITTNSRYDQPTSRGKQLLAALDYLTKQSPTEVRQRLDATRLGVMGHSMGGGGALYAAYKRPSLKAAVPLAPWNLIKNWSGIRVPTLVVAGTADKTASAGAHSLPFYSSMTGARERAFADVTGADHLTFVREDPVIGALAVSWLKRFLDDDTRYAPFITEPVGLSRFLCSCPYAG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inlineStr">
        <is>
          <t>DP007</t>
        </is>
      </c>
      <c r="Z91" s="5" t="inlineStr">
        <is>
          <t>WP_035284691</t>
        </is>
      </c>
      <c r="AA91" s="5" t="inlineStr">
        <is>
          <t>Direct</t>
        </is>
      </c>
      <c r="AB91" s="5" t="n">
        <v>383</v>
      </c>
      <c r="AC91" s="5" t="inlineStr">
        <is>
          <t>10.1021/acscatal.5c03460</t>
        </is>
      </c>
      <c r="AD91" s="5" t="inlineStr">
        <is>
          <t>MRISKKIAVAIPAALAIAGAGVVVAIPDAGAAQTSQVVTANPHQRGPDPTPETVRAPQGTFAFSTYSVPASVTGFGQGTIYYPDDTTQGTFAGVAISPGYTGPEASVAWLGPRLASRGFVVITITTNSRYDQPTSRGKQLLAALDYLTKQSPTEVRQRLDATRLGVMGHSMGGGGALYAAYKRPSLKAAVPLAPWNLIKNWSGIRVPTLVVAGTADKTASAGAHSLPFYSSMTGARERAFADVTGADHLTFVREDPVIGALAVSWLKRFLDDDTRYAPFITEPVGLSRFLCSCPYAG</t>
        </is>
      </c>
      <c r="AE91" s="5" t="inlineStr">
        <is>
          <t>Actinokineospora spheciospongiae</t>
        </is>
      </c>
      <c r="AF91" s="5" t="n">
        <v>909613</v>
      </c>
      <c r="AG91" s="5" t="inlineStr">
        <is>
          <t>seq_in_supp</t>
        </is>
      </c>
      <c r="AH91" s="5" t="inlineStr">
        <is>
          <t>ncbi</t>
        </is>
      </c>
      <c r="AI91" s="5" t="n"/>
      <c r="AJ91" s="5" t="n"/>
      <c r="AK91" s="5" t="n"/>
      <c r="AL91" s="5" t="n">
        <v>1</v>
      </c>
    </row>
    <row r="92" ht="15" customHeight="1" s="12">
      <c r="A92" s="5" t="inlineStr">
        <is>
          <t>retrieving_only</t>
        </is>
      </c>
      <c r="B92" s="5" t="inlineStr">
        <is>
          <t>MSIVSVIESLTGRDRVGKAGVFMVGVALLVSACVTPAPPPAPDVATVTVGAGNGFGGGTIYYPQGATGRLPVVAASPGFTENQNAVGWYGPLLAREGNIVITIDTNSPFDSPTSRADQLLAAIDYVVNRSSVASIADGSRTAVMGHSMGGGGSLEAALKRPGLKAIIPLAPWNTTTNFSGVRVPTLIVGCQNDAIAPVGSHAEPFYQSIPATTPKAYLEIAGGDHFCTNSENPTIANYVVAWTDRFLQGDTSASSRLCPPPPAGGSISEYRANCPY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inlineStr">
        <is>
          <t>ESM050</t>
        </is>
      </c>
      <c r="Z92" s="5" t="inlineStr">
        <is>
          <t>GIU85367.1</t>
        </is>
      </c>
      <c r="AA92" s="5" t="inlineStr">
        <is>
          <t>Direct</t>
        </is>
      </c>
      <c r="AB92" s="5" t="n">
        <v>417</v>
      </c>
      <c r="AC92" s="5" t="inlineStr">
        <is>
          <t>10.1021/acscatal.5c03460</t>
        </is>
      </c>
      <c r="AD92" s="5" t="inlineStr">
        <is>
          <t>MSIVSVIESLTGRDRVGKAGVFMVGVALLVSACVTPAPPPAPDVATVTVGAGNGFGGGTIYYPQGATGRLPVVAASPGFTENQNAVGWYGPLLAREGNIVITIDTNSPFDSPTSRADQLLAAIDYVVNRSSVASIADGSRTAVMGHSMGGGGSLEAALKRPGLKAIIPLAPWNTTTNFSGVRVPTLIVGCQNDAIAPVGSHAEPFYQSIPATTPKAYLEIAGGDHFCTNSENPTIANYVVAWTDRFLQGDTSASSRLCPPPPAGGSISEYRANCPY</t>
        </is>
      </c>
      <c r="AE92" s="5" t="inlineStr">
        <is>
          <t>Acidimicrobiales bacterium</t>
        </is>
      </c>
      <c r="AF92" s="5" t="n">
        <v>2201156</v>
      </c>
      <c r="AG92" s="5" t="inlineStr">
        <is>
          <t>seq_in_supp</t>
        </is>
      </c>
      <c r="AH92" s="5" t="inlineStr">
        <is>
          <t>ncbi</t>
        </is>
      </c>
      <c r="AI92" s="5" t="n"/>
      <c r="AJ92" s="5" t="n"/>
      <c r="AK92" s="5" t="n"/>
      <c r="AL92" s="5" t="n">
        <v>1</v>
      </c>
    </row>
    <row r="93" ht="15" customHeight="1" s="12">
      <c r="A93" s="5" t="inlineStr">
        <is>
          <t>retrieving_only</t>
        </is>
      </c>
      <c r="B93" s="5" t="inlineStr">
        <is>
          <t>MLGTLLIAAAVSPASGADNPYQRGPDPTPASVSANRGTFATAQISVPAGNGFGGGVIYHPTDTSQGTFGAIAVVPGYTATWAAEGAWMGHWLASFGFVVIGIDTNSRNDWDTARGTQLLAALDYLTQRSPVRDRVDANRTAVMGHSMGGGGAMHAALQRPSLKAAIGLAPFSPSQNLTTTRVPTMLLAGQSDTTTTPASILNLYNGIPAATEKAYLELTGAGHGFPTSNNPTMMRNVIPWLKIFVDSDTRYTQFLCSLSNWDGIRAYQSTCPLVPSPVPTTTSTTSTTTTISTTTTTPAPGDACSATYRTTNSWPGGYQAEVTVTAGNTAVNGWNVQWTLGSGQTVTQVWNGTLNVSGSTASVRNASYNGSLQANTSTTFGFIGGGTPPTSSLSCTSP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inlineStr">
        <is>
          <t>ESM035</t>
        </is>
      </c>
      <c r="Z93" s="5" t="inlineStr">
        <is>
          <t>WP_158852571.1</t>
        </is>
      </c>
      <c r="AA93" s="5" t="inlineStr">
        <is>
          <t>Direct</t>
        </is>
      </c>
      <c r="AB93" s="5" t="n">
        <v>413</v>
      </c>
      <c r="AC93" s="5" t="inlineStr">
        <is>
          <t>10.1021/acscatal.5c03460</t>
        </is>
      </c>
      <c r="AD93" s="5" t="inlineStr">
        <is>
          <t>MLGTLLIAAAVSPASGADNPYQRGPDPTPASVSANRGTFATAQISVPAGNGFGGGVIYHPTDTSQGTFGAIAVVPGYTATWAAEGAWMGHWLASFGFVVIGIDTNSRNDWDTARGTQLLAALDYLTQRSPVRDRVDANRTAVMGHSMGGGGAMHAALQRPSLKAAIGLAPFSPSQNLTTTRVPTMLLAGQSDTTTTPASILNLYNGIPAATEKAYLELTGAGHGFPTSNNPTMMRNVIPWLKIFVDSDTRYTQFLCSLSNWDGIRAYQSTCPLVPSPVPTTTSTTSTTTTISTTTTTPAPGDACSATYRTTNSWPGGYQAEVTVTAGNTAVNGWNVQWTLGSGQTVTQVWNGTLNVSGSTASVRNASYNGSLQANTSTTFGFIGGGTPPTSSLSCTSP</t>
        </is>
      </c>
      <c r="AE93" s="5" t="inlineStr">
        <is>
          <t>Saccharothrix deserti</t>
        </is>
      </c>
      <c r="AF93" s="5" t="n">
        <v>2593674</v>
      </c>
      <c r="AG93" s="5" t="inlineStr">
        <is>
          <t>seq_in_supp</t>
        </is>
      </c>
      <c r="AH93" s="5" t="inlineStr">
        <is>
          <t>ncbi</t>
        </is>
      </c>
      <c r="AI93" s="5" t="n"/>
      <c r="AJ93" s="5" t="n"/>
      <c r="AK93" s="5" t="n"/>
      <c r="AL93" s="5" t="n">
        <v>1</v>
      </c>
    </row>
    <row r="94" ht="15" customHeight="1" s="12">
      <c r="A94" s="5" t="inlineStr">
        <is>
          <t>retrieving_only</t>
        </is>
      </c>
      <c r="B94" s="5" t="inlineStr">
        <is>
          <t>MSDENRMPSASRRSSITLVRRALTAIALTAGLAATSAAQPASAAANPYQRGPAPTAASVAAVTGPFATASVSVPRGNGFGGGVIYYPTDTSQGTFGGLAISPGLNGTWPGIAWLGSRLASQGFIVFGIETNNLNDSPTSRGTQLLAALDYLAQRSSVRSRLDPGRLAVAGHSMGGGGALDAALRRPSLKAAIGNAPYLPSNTLAGNRVPTLIYAMQNDTLVPPSRLTSLYNTIPATTERAYLEITGAGHNYIGQPSTTLARTMIPWLKIFIDNDTRFSQFLCPLADQSGIRQYRSSCPLVPATTRALTAAAG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inlineStr">
        <is>
          <t>DP043</t>
        </is>
      </c>
      <c r="Z94" s="5" t="inlineStr">
        <is>
          <t>WP_229068674.1</t>
        </is>
      </c>
      <c r="AA94" s="5" t="inlineStr">
        <is>
          <t>Direct</t>
        </is>
      </c>
      <c r="AB94" s="5" t="n">
        <v>391</v>
      </c>
      <c r="AC94" s="5" t="inlineStr">
        <is>
          <t>10.1021/acscatal.5c03460</t>
        </is>
      </c>
      <c r="AD94" s="5" t="inlineStr">
        <is>
          <t>MSDENRMPSASRRSSITLVRRALTAIALTAGLAATSAAQPASAAANPYQRGPAPTAASVAAVTGPFATASVSVPRGNGFGGGVIYYPTDTSQGTFGGLAISPGLNGTWPGIAWLGSRLASQGFIVFGIETNNLNDSPTSRGTQLLAALDYLAQRSSVRSRLDPGRLAVAGHSMGGGGALDAALRRPSLKAAIGNAPYLPSNTLAGNRVPTLIYAMQNDTLVPPSRLTSLYNTIPATTERAYLEITGAGHNYIGQPSTTLARTMIPWLKIFIDNDTRFSQFLCPLADQSGIRQYRSSCPLVPATTRALTAAAG</t>
        </is>
      </c>
      <c r="AE94" s="5" t="inlineStr">
        <is>
          <t>Actinoplanes sp. DH11</t>
        </is>
      </c>
      <c r="AF94" s="5" t="n">
        <v>2857011</v>
      </c>
      <c r="AG94" s="5" t="inlineStr">
        <is>
          <t>seq_in_supp</t>
        </is>
      </c>
      <c r="AH94" s="5" t="inlineStr">
        <is>
          <t>ncbi</t>
        </is>
      </c>
      <c r="AI94" s="5" t="n"/>
      <c r="AJ94" s="5" t="n"/>
      <c r="AK94" s="5" t="n"/>
      <c r="AL94" s="5" t="n">
        <v>1</v>
      </c>
    </row>
    <row r="95" ht="15" customHeight="1" s="12">
      <c r="A95" s="5" t="inlineStr">
        <is>
          <t>retrieving_only</t>
        </is>
      </c>
      <c r="B95" s="5" t="inlineStr">
        <is>
          <t>MSDGGVVRGPDDYGLTAEPNWRTVDWARHLARVRIGRTPVNYVRLDPPQRRDGAVPVVFVHGLSGQWQNWLENLPATALERPAVALDLPGFGRSPLPANGTVSIPYYASVVARLCAALGFDRYVVCGNSMGGLIAAELALREPGRVQGLVLVSPAGVSSATVKVWPAVAVGTVVRLVGVYGGRFHRHVARRRRARALGLALVARYPQRLDADLACEGLIKGAGKPGFAPALRATVGYDLRERLPEIAVPTLVVWGKDDRVIPVRDADVWASRIANTEKVILPRTGHVAQLERPRTFNRLLHDFVARVDAQEHTPTTAASA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inlineStr">
        <is>
          <t>TA26</t>
        </is>
      </c>
      <c r="Z95" s="5" t="inlineStr">
        <is>
          <t>WDT94443</t>
        </is>
      </c>
      <c r="AA95" s="5" t="inlineStr">
        <is>
          <t>Direct</t>
        </is>
      </c>
      <c r="AB95" s="5" t="n">
        <v>485</v>
      </c>
      <c r="AC95" s="5" t="inlineStr">
        <is>
          <t>10.1111/febs.70478</t>
        </is>
      </c>
      <c r="AD95" s="5" t="inlineStr">
        <is>
          <t>MSDGGVVRGPDDYGLTAEPNWRTVDWARHLARVRIGRTPVNYVRLDPPQRRDGAVPVVFVHGLSGQWQNWLENLPATALERPAVALDLPGFGRSPLPANGTVSIPYYASVVARLCAALGFDRYVVCGNSMGGLIAAELALREPGRVQGLVLVSPAGVSSATVKVWPAVAVGTVVRLVGVYGGRFHRHVARRRRARALGLALVARYPQRLDADLACEGLIKGAGKPGFAPALRATVGYDLRERLPEIAVPTLVVWGKDDRVIPVRDADVWASRIANTEKVILPRTGHVAQLERPRTFNRLLHDFVARVDAQEHTPTTAASAS</t>
        </is>
      </c>
      <c r="AE95" s="5" t="inlineStr">
        <is>
          <t>Thermoleophilum album</t>
        </is>
      </c>
      <c r="AF95" s="5" t="n">
        <v>29539</v>
      </c>
      <c r="AG95" s="5" t="inlineStr">
        <is>
          <t>supp_unavailable</t>
        </is>
      </c>
      <c r="AH95" s="5" t="inlineStr">
        <is>
          <t>ncbi</t>
        </is>
      </c>
      <c r="AI95" s="5" t="n"/>
      <c r="AJ95" s="5" t="n"/>
      <c r="AK95" s="5" t="n"/>
      <c r="AL95" s="5" t="n">
        <v>1</v>
      </c>
    </row>
    <row r="96" ht="15" customHeight="1" s="12">
      <c r="A96" s="5" t="inlineStr">
        <is>
          <t>retrieving_only</t>
        </is>
      </c>
      <c r="B96" s="5" t="inlineStr">
        <is>
          <t>MLTSVARGRGRLAKIALAASLVGGSLVSGATSAGAQSNPYERGPAPTESSIEATRGSFSVSDKNVSSFSASGFGGGTIYYPTDTSQGTFGGVAISPGFTAGESSIAWLGPRIASQGFVVITIDTNSRYDQPNSRADQLQAALDHIVADSTVGSRIDPNRLAVMGHSMGGGGSLKAAEDNADLQAAVPLQPWHTQKNWSDVEVPTLIIGAENDSVASVTTHSKPFYTSLPDDLDKAYLELDGASHFVSNTPDTTTAKYSISWLKRFVDDDTRYEQFLCPAPDDRTISEYRDTCPHSGGGGTTPTTTPTTLPPDDDCAWWQWWC</t>
        </is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inlineStr">
        <is>
          <t>DP057</t>
        </is>
      </c>
      <c r="Z96" s="5" t="inlineStr">
        <is>
          <t>MBN2622270.1</t>
        </is>
      </c>
      <c r="AA96" s="5" t="inlineStr">
        <is>
          <t>Direct</t>
        </is>
      </c>
      <c r="AB96" s="5" t="n">
        <v>394</v>
      </c>
      <c r="AC96" s="5" t="inlineStr">
        <is>
          <t>10.1021/acscatal.5c03460</t>
        </is>
      </c>
      <c r="AD96" s="5" t="inlineStr">
        <is>
          <t>MLTSVARGRGRLAKIALAASLVGGSLVSGATSAGAQSNPYERGPAPTESSIEATRGSFSVSDKNVSSFSASGFGGGTIYYPTDTSQGTFGGVAISPGFTAGESSIAWLGPRIASQGFVVITIDTNSRYDQPNSRADQLQAALDHIVADSTVGSRIDPNRLAVMGHSMGGGGSLKAAEDNADLQAAVPLQPWHTQKNWSDVEVPTLIIGAENDSVASVTTHSKPFYTSLPDDLDKAYLELDGASHFVSNTPDTTTAKYSISWLKRFVDDDTRYEQFLCPAPDDRTISEYRDTCPHSGGGGTTPTTTPTTLPPDDDCAWWQWWC</t>
        </is>
      </c>
      <c r="AE96" s="5" t="inlineStr">
        <is>
          <t>Acidimicrobiales bacterium</t>
        </is>
      </c>
      <c r="AF96" s="5" t="n">
        <v>2201156</v>
      </c>
      <c r="AG96" s="5" t="inlineStr">
        <is>
          <t>seq_in_supp</t>
        </is>
      </c>
      <c r="AH96" s="5" t="inlineStr">
        <is>
          <t>ncbi</t>
        </is>
      </c>
      <c r="AI96" s="5" t="n"/>
      <c r="AJ96" s="5" t="n"/>
      <c r="AK96" s="5" t="n"/>
      <c r="AL96" s="5" t="n">
        <v>1</v>
      </c>
    </row>
    <row r="97" ht="15" customHeight="1" s="12">
      <c r="A97" s="5" t="inlineStr">
        <is>
          <t>retrieving_only</t>
        </is>
      </c>
      <c r="B97" s="5" t="inlineStr">
        <is>
          <t>MLTITVATGSASAADNPYQRGPDPTRTSVTAVNGPFANTSVSVPTGYGFNGGRIYYPTDTSQGTFGAIAISPGYTALFSAELAWMGPWLASHGFVVIGIETNSRNDFDTARGTQLLAALDYLTQQSPVRDRVDPNRLAVAGHSMGGGGALSAATRRSSLKAVVGIAPYSPSSNLANDRVPTMIFAGQADTVVTPSYATGLYNSLPTTTESAYLEVAGADHGFMVGRSNPVMVRTMLPFVKMFIDNDARYSQFLCPLLDSSGVVTYRSTCPLLPSTPPTSTPTPTDPPTPTPTPTVPPGSASEIVGTQSSRCIDVPNASRNNGTRVQLYDCNKQTNQA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inlineStr">
        <is>
          <t>ESM121</t>
        </is>
      </c>
      <c r="Z97" s="5" t="inlineStr">
        <is>
          <t>WP_247684544.1</t>
        </is>
      </c>
      <c r="AA97" s="5" t="inlineStr">
        <is>
          <t>Direct</t>
        </is>
      </c>
      <c r="AB97" s="5" t="n">
        <v>437</v>
      </c>
      <c r="AC97" s="5" t="inlineStr">
        <is>
          <t>10.1021/acscatal.5c03460</t>
        </is>
      </c>
      <c r="AD97" s="5" t="inlineStr">
        <is>
          <t>MLTITVATGSASAADNPYQRGPDPTRTSVTAVNGPFANTSVSVPTGYGFNGGRIYYPTDTSQGTFGAIAISPGYTALFSAELAWMGPWLASHGFVVIGIETNSRNDFDTARGTQLLAALDYLTQQSPVRDRVDPNRLAVAGHSMGGGGALSAATRRSSLKAVVGIAPYSPSSNLANDRVPTMIFAGQADTVVTPSYATGLYNSLPTTTESAYLEVAGADHGFMVGRSNPVMVRTMLPFVKMFIDNDARYSQFLCPLLDSSGVVTYRSTCPLLPSTPPTSTPTPTDPPTPTPTPTVPPGSASEIVGTQSSRCIDVPNASRNNGTRVQLYDCNKQTNQA</t>
        </is>
      </c>
      <c r="AE97" s="5" t="inlineStr">
        <is>
          <t>Micromonospora sp. D93</t>
        </is>
      </c>
      <c r="AF97" s="5" t="n">
        <v>2824886</v>
      </c>
      <c r="AG97" s="5" t="inlineStr">
        <is>
          <t>seq_in_supp</t>
        </is>
      </c>
      <c r="AH97" s="5" t="inlineStr">
        <is>
          <t>ncbi</t>
        </is>
      </c>
      <c r="AI97" s="5" t="n"/>
      <c r="AJ97" s="5" t="n"/>
      <c r="AK97" s="5" t="n"/>
      <c r="AL97" s="5" t="n">
        <v>1</v>
      </c>
    </row>
    <row r="98" ht="15" customHeight="1" s="12">
      <c r="A98" s="5" t="inlineStr">
        <is>
          <t>retrieving_only</t>
        </is>
      </c>
      <c r="B98" s="5" t="inlineStr">
        <is>
          <t>MLTDIDGIRVGHATDARAMTGCTIAVFDEPVVPGVDVRGANAATIYTDLLYPDSVMPSVTGIMLTGGSAFGLEAALGAVRYFEEQGRGYDVGVAKIPLVPAAVIYDLSVGDANVRPDLAMGRRACEAAKPGPFERGRVGGGTGATVGKLYGVRQSSPGGLGTATVSLYGGIKVSAMIVVNSFGDLRDTAGRIVAGAKYEGGEFADTYARMKLGDKNQSALARMGMNTTIGIVSTNCRLTKVEASRMATLAHNGLARAICPIHTNVDGDTIFATGLQKSDLTAPVDLLGTAAAEAAMLACLDAVMQ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inlineStr">
        <is>
          <t>Nyl50</t>
        </is>
      </c>
      <c r="Z98" s="5" t="inlineStr">
        <is>
          <t>TAL40028</t>
        </is>
      </c>
      <c r="AA98" s="5" t="inlineStr">
        <is>
          <t>Direct</t>
        </is>
      </c>
      <c r="AB98" s="5" t="n">
        <v>362</v>
      </c>
      <c r="AC98" s="5" t="inlineStr">
        <is>
          <t>10.1016/j.checat.2025.101418</t>
        </is>
      </c>
      <c r="AD98" s="5" t="inlineStr">
        <is>
          <t>MLTDIDGIRVGHATDARAMTGCTIAVFDEPVVPGVDVRGANAATIYTDLLYPDSVMPSVTGIMLTGGSAFGLEAALGAVRYFEEQGRGYDVGVAKIPLVPAAVIYDLSVGDANVRPDLAMGRRACEAAKPGPFERGRVGGGTGATVGKLYGVRQSSPGGLGTATVSLYGGIKVSAMIVVNSFGDLRDTAGRIVAGAKYEGGEFADTYARMKLGDKNQSALARMGMNTTIGIVSTNCRLTKVEASRMATLAHNGLARAICPIHTNVDGDTIFATGLQKSDLTAPVDLLGTAAAEAAMLACLDAVMQ</t>
        </is>
      </c>
      <c r="AE98" s="5" t="inlineStr">
        <is>
          <t>Alphaproteobacteria bacterium</t>
        </is>
      </c>
      <c r="AF98" s="5" t="n">
        <v>1913988</v>
      </c>
      <c r="AG98" s="5" t="inlineStr">
        <is>
          <t>supp_unavailable</t>
        </is>
      </c>
      <c r="AH98" s="5" t="inlineStr">
        <is>
          <t>ncbi</t>
        </is>
      </c>
      <c r="AI98" s="5" t="n"/>
      <c r="AJ98" s="5" t="n"/>
      <c r="AK98" s="5" t="n"/>
      <c r="AL98" s="5" t="n">
        <v>1</v>
      </c>
    </row>
    <row r="99" ht="15" customHeight="1" s="12">
      <c r="A99" s="5" t="inlineStr">
        <is>
          <t>retrieving_only</t>
        </is>
      </c>
      <c r="B99" s="5" t="inlineStr">
        <is>
          <t>MLSLVGGSLAVTTAPAHADQIGQAPTASNITGNGSFATTSASISSTVSGFGGGRVYYPTAAGTYPVIAISPGFTATWSSLAWIGPRLSSWGFVVVGIETNSIYDQPASRGNQLLAALNWAVNSSPTAVRSHVDGSRRGVAGHSMGGGGTLEALAADTTGLVKAGVPLAPWNTDKTWNNVSEPVLIVGGQADTVAPVASHSIPFYNTLAGPKTYVELTGQSHFFPQTTNATASRALVAWFKRWVSQDSRFTPFTCGFSGVAVSDFRSNAC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inlineStr">
        <is>
          <t>ESM082</t>
        </is>
      </c>
      <c r="Z99" s="5" t="inlineStr">
        <is>
          <t>UAC02078.1</t>
        </is>
      </c>
      <c r="AA99" s="5" t="inlineStr">
        <is>
          <t>Direct</t>
        </is>
      </c>
      <c r="AB99" s="5" t="n">
        <v>430</v>
      </c>
      <c r="AC99" s="5" t="inlineStr">
        <is>
          <t>10.1021/acscatal.5c03460</t>
        </is>
      </c>
      <c r="AD99" s="5" t="inlineStr">
        <is>
          <t>MLSLVGGSLAVTTAPAHADQIGQAPTASNITGNGSFATTSASISSTVSGFGGGRVYYPTAAGTYPVIAISPGFTATWSSLAWIGPRLSSWGFVVVGIETNSIYDQPASRGNQLLAALNWAVNSSPTAVRSHVDGSRRGVAGHSMGGGGTLEALAADTTGLVKAGVPLAPWNTDKTWNNVSEPVLIVGGQADTVAPVASHSIPFYNTLAGPKTYVELTGQSHFFPQTTNATASRALVAWFKRWVSQDSRFTPFTCGFSGVAVSDFRSNAC</t>
        </is>
      </c>
      <c r="AE99" s="5" t="inlineStr">
        <is>
          <t>Dactylosporangium vinaceum</t>
        </is>
      </c>
      <c r="AF99" s="5" t="n">
        <v>53362</v>
      </c>
      <c r="AG99" s="5" t="inlineStr">
        <is>
          <t>seq_in_supp</t>
        </is>
      </c>
      <c r="AH99" s="5" t="inlineStr">
        <is>
          <t>ncbi</t>
        </is>
      </c>
      <c r="AI99" s="5" t="n"/>
      <c r="AJ99" s="5" t="n"/>
      <c r="AK99" s="5" t="n"/>
      <c r="AL99" s="5" t="n">
        <v>1</v>
      </c>
    </row>
    <row r="100" ht="15" customHeight="1" s="12">
      <c r="A100" s="5" t="inlineStr">
        <is>
          <t>retrieving_only</t>
        </is>
      </c>
      <c r="B100" s="5" t="inlineStr">
        <is>
          <t>MLSKRGILGALAGGAVAVGCLTAPAHAAGFEKGPDPTTASVTADRGSYDIAQVDVPKGSGTGFADGTIYYPKSTADGTFGAVAVIPGFLEPKSAIDWYGPRLASQGFVVMTLDTTSVFDTPDSRGGQLLAALDYLTSKSTVKDRIDPNRLAVVGHSMGGGGTLSAAANRPNLKAAVALAPWHVSAPLTSVKTPTMIFGSDNDFIAPDGTFAKPFYDGISNAPEKAYVRLKNAGHMAYVFPDKRIAEYTLSWLKRYVDDDTRYTQFLCPGPTNESTIAAYKSTCPM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inlineStr">
        <is>
          <t>APET-15</t>
        </is>
      </c>
      <c r="Z100" s="5" t="inlineStr">
        <is>
          <t>WP_019629726.1</t>
        </is>
      </c>
      <c r="AA100" s="5" t="inlineStr">
        <is>
          <t>Direct</t>
        </is>
      </c>
      <c r="AB100" s="5" t="n">
        <v>258</v>
      </c>
      <c r="AC100" s="5" t="inlineStr">
        <is>
          <t>10.1038/s41467-025-61599-z</t>
        </is>
      </c>
      <c r="AD100" s="5" t="inlineStr">
        <is>
          <t>MLSKRGILGALAGGAVAVGCLTAPAHAAGFEKGPDPTTASVTADRGSYDIAQVDVPKGSGTGFADGTIYYPKSTADGTFGAVAVIPGFLEPKSAIDWYGPRLASQGFVVMTLDTTSVFDTPDSRGGQLLAALDYLTSKSTVKDRIDPNRLAVVGHSMGGGGTLSAAANRPNLKAAVALAPWHVSAPLTSVKTPTMIFGSDNDFIAPDGTFAKPFYDGISNAPEKAYVRLKNAGHMAYVFPDKRIAEYTLSWLKRYVDDDTRYTQFLCPGPTNESTIAAYKSTCPM</t>
        </is>
      </c>
      <c r="AE100" s="5" t="inlineStr">
        <is>
          <t>Actinomadura atramentaria</t>
        </is>
      </c>
      <c r="AF100" s="5" t="n">
        <v>1990</v>
      </c>
      <c r="AG100" s="5" t="inlineStr">
        <is>
          <t>supp_unavailable</t>
        </is>
      </c>
      <c r="AH100" s="5" t="inlineStr">
        <is>
          <t>ncbi</t>
        </is>
      </c>
      <c r="AI100" s="5" t="n"/>
      <c r="AJ100" s="5" t="n"/>
      <c r="AK100" s="5" t="n"/>
      <c r="AL100" s="5" t="n">
        <v>1</v>
      </c>
    </row>
    <row r="101" ht="15" customHeight="1" s="12">
      <c r="A101" s="5" t="inlineStr">
        <is>
          <t>retrieving_only</t>
        </is>
      </c>
      <c r="B101" s="5" t="inlineStr">
        <is>
          <t>MLGALAIVGGTRPATGADNPYQRGPDPTPASVSAGRGTFATAQVSVGAGNGFGGGVIYYPTDTSQGTFGAIAVVPGYTATWAAEGAWMGHWLASYGFVVIGIDTNTRNDWDTARGTQLLAALDYLTQRSSVRDRVDATRTAVMGHSMGGGGAAYASLQRPSLKTSVGLAPFSPSQNLTTTRVPTMLLSGQNDGTVTPSSVQNLYNGIPAGVEKAYLELTGAGHGFPTSNNPTMMRTVIPWFKIFVDSDTRYTQFLCPLADSNGIRTYQSTCPLVPSTPPTTTTTPTSTTTTSTTSTTPTTTTTTPQPGGACSATYRTVNSWSGGYQGEVTVTAGTSAVTGWTVRWSLGSGQTISQVWNGTLTVDGPTASVRNVSYNGSLGANASTTFGFIGGGTPPTSTLSCTSP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inlineStr">
        <is>
          <t>ESM006</t>
        </is>
      </c>
      <c r="Z101" s="5" t="inlineStr">
        <is>
          <t>WP_267938240.1</t>
        </is>
      </c>
      <c r="AA101" s="5" t="inlineStr">
        <is>
          <t>Direct</t>
        </is>
      </c>
      <c r="AB101" s="5" t="n">
        <v>406</v>
      </c>
      <c r="AC101" s="5" t="inlineStr">
        <is>
          <t>10.1021/acscatal.5c03460</t>
        </is>
      </c>
      <c r="AD101" s="5" t="inlineStr">
        <is>
          <t>MLGALAIVGGTRPATGADNPYQRGPDPTPASVSAGRGTFATAQVSVGAGNGFGGGVIYYPTDTSQGTFGAIAVVPGYTATWAAEGAWMGHWLASYGFVVIGIDTNTRNDWDTARGTQLLAALDYLTQRSSVRDRVDATRTAVMGHSMGGGGAAYASLQRPSLKTSVGLAPFSPSQNLTTTRVPTMLLSGQNDGTVTPSSVQNLYNGIPAGVEKAYLELTGAGHGFPTSNNPTMMRTVIPWFKIFVDSDTRYTQFLCPLADSNGIRTYQSTCPLVPSTPPTTTTTPTSTTTTSTTSTTPTTTTTTPQPGGACSATYRTVNSWSGGYQGEVTVTAGTSAVTGWTVRWSLGSGQTISQVWNGTLTVDGPTASVRNVSYNGSLGANASTTFGFIGGGTPPTSTLSCTSP</t>
        </is>
      </c>
      <c r="AE101" s="5" t="inlineStr">
        <is>
          <t>Saccharothrix sp. S26</t>
        </is>
      </c>
      <c r="AF101" s="5" t="n">
        <v>2907215</v>
      </c>
      <c r="AG101" s="5" t="inlineStr">
        <is>
          <t>seq_in_supp</t>
        </is>
      </c>
      <c r="AH101" s="5" t="inlineStr">
        <is>
          <t>ncbi</t>
        </is>
      </c>
      <c r="AI101" s="5" t="n"/>
      <c r="AJ101" s="5" t="n"/>
      <c r="AK101" s="5" t="n"/>
      <c r="AL101" s="5" t="n">
        <v>1</v>
      </c>
    </row>
    <row r="102" ht="15" customHeight="1" s="12">
      <c r="A102" s="5" t="inlineStr">
        <is>
          <t>retrieving_only</t>
        </is>
      </c>
      <c r="B102" s="5" t="inlineStr">
        <is>
          <t>MSHRFRLAAAVCVAAAILVPATPAAAADPWDAPGPYATAVQIGAVNTLYYPRDIASSPRRHPVIVWGNGTGAAPLVYRDLLLYWASHGFIVSAANTPASNLGISMRLGIDALAAADADPGSIFRGKVDLAHIGASGHSQGGAAAIVVGADPRIDAILPIQPGPLADIDDVHVPALLLAGQHDSIVFPFLVKAFYNDATHIPAIYAEVRGADHFTVVGDPGPFAAPTTAWFRFQLMGDTAARAEFYGPSCGICTDTRTWSDVRRNALVP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inlineStr">
        <is>
          <t>APET-26</t>
        </is>
      </c>
      <c r="Z102" s="5" t="inlineStr">
        <is>
          <t>WP_203847453.1</t>
        </is>
      </c>
      <c r="AA102" s="5" t="inlineStr">
        <is>
          <t>Direct</t>
        </is>
      </c>
      <c r="AB102" s="5" t="n">
        <v>265</v>
      </c>
      <c r="AC102" s="5" t="inlineStr">
        <is>
          <t>10.1038/s41467-025-61599-z</t>
        </is>
      </c>
      <c r="AD102" s="5" t="inlineStr">
        <is>
          <t>MSHRFRLAAAVCVAAAILVPATPAAAADPWDAPGPYATAVQIGAVNTLYYPRDIASSPRRHPVIVWGNGTGAAPLVYRDLLLYWASHGFIVSAANTPASNLGISMRLGIDALAAADADPGSIFRGKVDLAHIGASGHSQGGAAAIVVGADPRIDAILPIQPGPLADIDDVHVPALLLAGQHDSIVFPFLVKAFYNDATHIPAIYAEVRGADHFTVVGDPGPFAAPTTAWFRFQLMGDTAARAEFYGPSCGICTDTRTWSDVRRNALVP</t>
        </is>
      </c>
      <c r="AE102" s="5" t="inlineStr">
        <is>
          <t>Dactylosporangium siamense</t>
        </is>
      </c>
      <c r="AF102" s="5" t="n">
        <v>685454</v>
      </c>
      <c r="AG102" s="5" t="inlineStr">
        <is>
          <t>supp_unavailable</t>
        </is>
      </c>
      <c r="AH102" s="5" t="inlineStr">
        <is>
          <t>ncbi</t>
        </is>
      </c>
      <c r="AI102" s="5" t="n"/>
      <c r="AJ102" s="5" t="n"/>
      <c r="AK102" s="5" t="n"/>
      <c r="AL102" s="5" t="n">
        <v>1</v>
      </c>
    </row>
    <row r="103" ht="15" customHeight="1" s="12">
      <c r="A103" s="5" t="inlineStr">
        <is>
          <t>retrieving_only</t>
        </is>
      </c>
      <c r="B103" s="5" t="inlineStr">
        <is>
          <t>MRPDVQHLPPPGGTDRIVPGSRRRLLALAAAGIALVLGLLTTVVTTGSASAADNPYQRGPDPTPASVAAVNGPFATASVSVPAGYGFGGGMIYYPTDTSQGTFGGIAISPGYTALFSAELAWMGPWLASHGFVVIGIETNSRNDFDEARGTQLLAALDYLTQQSPVRTRVDPNRLAVSGHSMGGGGALNAAIRRPSLKAAVGLAPFLPSSNLANDRVPTMVFAGQQDTVVSPSYVTNLYNSLPATTESAYLEIAGGDHGFPVGRPNQVMIRTMLPFVKIFLDNDTRYSQFLCPLMDSTGVVTYRSTCPLLPPGLPTTPPTSTSSNPTVGPTTPSTTAPTTTPAPGGACTATYRTTNSWPGGFQGEVTITAGSSAINGWTVRWTLGSGQTISQVWNGEVSITGSTVSVRNAPYNGSLPASGSTTFGFLGGGSPSSPSLTCTSP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inlineStr">
        <is>
          <t>TEP165</t>
        </is>
      </c>
      <c r="Z103" s="5" t="inlineStr">
        <is>
          <t>WP_233604767.1</t>
        </is>
      </c>
      <c r="AA103" s="5" t="inlineStr">
        <is>
          <t>Direct</t>
        </is>
      </c>
      <c r="AB103" s="5" t="n">
        <v>474</v>
      </c>
      <c r="AC103" s="5" t="inlineStr">
        <is>
          <t>10.1021/acscatal.5c03460</t>
        </is>
      </c>
      <c r="AD103" s="5" t="inlineStr">
        <is>
          <t>MRPDVQHLPPPGGTDRIVPGSRRRLLALAAAGIALVLGLLTTVVTTGSASAADNPYQRGPDPTPASVAAVNGPFATASVSVPAGYGFGGGMIYYPTDTSQGTFGGIAISPGYTALFSAELAWMGPWLASHGFVVIGIETNSRNDFDEARGTQLLAALDYLTQQSPVRTRVDPNRLAVSGHSMGGGGALNAAIRRPSLKAAVGLAPFLPSSNLANDRVPTMVFAGQQDTVVSPSYVTNLYNSLPATTESAYLEIAGGDHGFPVGRPNQVMIRTMLPFVKIFLDNDTRYSQFLCPLMDSTGVVTYRSTCPLLPPGLPTTPPTSTSSNPTVGPTTPSTTAPTTTPAPGGACTATYRTTNSWPGGFQGEVTITAGSSAINGWTVRWTLGSGQTISQVWNGEVSITGSTVSVRNAPYNGSLPASGSTTFGFLGGGSPSSPSLTCTSP</t>
        </is>
      </c>
      <c r="AE103" s="5" t="inlineStr">
        <is>
          <t>Micromonospora sp. HM5-17</t>
        </is>
      </c>
      <c r="AF103" s="5" t="n">
        <v>2487710</v>
      </c>
      <c r="AG103" s="5" t="inlineStr">
        <is>
          <t>seq_in_supp</t>
        </is>
      </c>
      <c r="AH103" s="5" t="inlineStr">
        <is>
          <t>ncbi</t>
        </is>
      </c>
      <c r="AI103" s="5" t="n"/>
      <c r="AJ103" s="5" t="n"/>
      <c r="AK103" s="5" t="n"/>
      <c r="AL103" s="5" t="n">
        <v>1</v>
      </c>
    </row>
    <row r="104" ht="15" customHeight="1" s="12">
      <c r="A104" s="5" t="inlineStr">
        <is>
          <t>retrieving_only</t>
        </is>
      </c>
      <c r="B104" s="5" t="inlineStr">
        <is>
          <t>MLRVTHHPPPGGTDSARTRTALPAPGAAPPRPGLPRRRGRLVTLAAAGIAAALVGLFTMTVATGTASAADNPYQRGPDPTRSSVASVNGPFANTSVAVPTGYGFNGGRIYYPTDTSQGTFGAVAISPGYNALFSAELAWMGPWLASHGFVVIGIETNSRNDFDTARGTQLLAALDYLVQQSPVRDRIDPNRLAVSGHSMGGGGALSAALRRSSLKAAVGIAPYSPSSNLANDRVPTMVFAGQADTVVTPSYATGLYNSLPVTTESAYLEVAGADHGFMVGRSNPVLIRTMLPFLKMFVDNDARYSQFLCPLADNNGVVSYRSTCPLLPSTPTTPPPTPSDTPPPTPSQTPTSSPTGNPPGTASLIVGAQSNRCLDVPNASRANGTRVQLWDCNRQANQSWTYTSGKQLRVYGDMCLDAAGSGNGAAVQIYGCHSQTNQQWNVNANGTISSVQSGRCLDVWSTANGAQVQLYDCHGQTNQRFTLTPLT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>
        <v>1635</v>
      </c>
      <c r="Z104" s="5" t="inlineStr">
        <is>
          <t>WP_145923095.1</t>
        </is>
      </c>
      <c r="AA104" s="5" t="inlineStr">
        <is>
          <t>Direct</t>
        </is>
      </c>
      <c r="AB104" s="5" t="n">
        <v>332</v>
      </c>
      <c r="AC104" s="5" t="inlineStr">
        <is>
          <t>10.1126/science.adp5637</t>
        </is>
      </c>
      <c r="AD104" s="5" t="inlineStr">
        <is>
          <t>MLRVTHHPPPGGTDSARTRTALPAPGAAPPRPGLPRRRGRLVTLAAAGIAAALVGLFTMTVATGTASAADNPYQRGPDPTRSSVASVNGPFANTSVAVPTGYGFNGGRIYYPTDTSQGTFGAVAISPGYNALFSAELAWMGPWLASHGFVVIGIETNSRNDFDTARGTQLLAALDYLVQQSPVRDRIDPNRLAVSGHSMGGGGALSAALRRSSLKAAVGIAPYSPSSNLANDRVPTMVFAGQADTVVTPSYATGLYNSLPVTTESAYLEVAGADHGFMVGRSNPVLIRTMLPFLKMFVDNDARYSQFLCPLADNNGVVSYRSTCPLLPSTPTTPPPTPSDTPPPTPSQTPTSSPTGNPPGTASLIVGAQSNRCLDVPNASRANGTRVQLWDCNRQANQSWTYTSGKQLRVYGDMCLDAAGSGNGAAVQIYGCHSQTNQQWNVNANGTISSVQSGRCLDVWSTANGAQVQLYDCHGQTNQRFTLTPLT</t>
        </is>
      </c>
      <c r="AE104" s="5" t="inlineStr">
        <is>
          <t>Micromonospora sp. HM134</t>
        </is>
      </c>
      <c r="AF104" s="5" t="n">
        <v>2583243</v>
      </c>
      <c r="AG104" s="5" t="inlineStr">
        <is>
          <t>supp_unavailable</t>
        </is>
      </c>
      <c r="AH104" s="5" t="inlineStr">
        <is>
          <t>ncbi</t>
        </is>
      </c>
      <c r="AI104" s="5" t="n"/>
      <c r="AJ104" s="5" t="n"/>
      <c r="AK104" s="5" t="n"/>
      <c r="AL104" s="5" t="n">
        <v>1</v>
      </c>
    </row>
    <row r="105" ht="15" customHeight="1" s="12">
      <c r="A105" s="5" t="inlineStr">
        <is>
          <t>retrieving_only</t>
        </is>
      </c>
      <c r="B105" s="5" t="inlineStr">
        <is>
          <t>MLRRAAIACAATLGVLASTVTAGPASAADNPHQRGPNPTQASVAASRGTFATSETSVGGGNGFGGAKIYYPTDTSQGKFAALAVSPGYTATWAAEGAWMGHWLASFGFVIIGIDTISRTDWDVARGDQLLAALDYLTQRSSVRDRVDASRVGVMGHSMGGGGAISAGLKRPSLKVVIGNAPYSASQNLTNMRVPVALLAGQRDTTVTPATTNSYYNQVPATTEKMYLELTNAPHSFPTSNNSVMTRKVIPWMKIFLDQDTRYQQFLCPLLDNTGIRTYRSSCPLIGDPMPPADTYRLAGAASGKCADVEGRSQANGAKLLLWTCNGQTNQRWTQTATGELRVYDNPKCVEAGTSAQGTRVTINACNGGNSQKWTVNANGTVTNAVSGRCLDAAGTADNSPIVVNTCTGAGSQNWSKRS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>
        <v>1654</v>
      </c>
      <c r="Z105" s="5" t="inlineStr">
        <is>
          <t>WP_086784246.1</t>
        </is>
      </c>
      <c r="AA105" s="5" t="inlineStr">
        <is>
          <t>Direct</t>
        </is>
      </c>
      <c r="AB105" s="5" t="n">
        <v>306</v>
      </c>
      <c r="AC105" s="5" t="inlineStr">
        <is>
          <t>10.1126/science.adp5637</t>
        </is>
      </c>
      <c r="AD105" s="5" t="inlineStr">
        <is>
          <t>MLRRAAIACAATLGVLASTVTAGPASAADNPHQRGPNPTQASVAASRGTFATSETSVGGGNGFGGAKIYYPTDTSQGKFAALAVSPGYTATWAAEGAWMGHWLASFGFVIIGIDTISRTDWDVARGDQLLAALDYLTQRSSVRDRVDASRVGVMGHSMGGGGAISAGLKRPSLKVVIGNAPYSASQNLTNMRVPVALLAGQRDTTVTPATTNSYYNQVPATTEKMYLELTNAPHSFPTSNNSVMTRKVIPWMKIFLDQDTRYQQFLCPLLDNTGIRTYRSSCPLIGDPMPPADTYRLAGAASGKCADVEGRSQANGAKLLLWTCNGQTNQRWTQTATGELRVYDNPKCVEAGTSAQGTRVTINACNGGNSQKWTVNANGTVTNAVSGRCLDAAGTADNSPIVVNTCTGAGSQNWSKRS</t>
        </is>
      </c>
      <c r="AE105" s="5" t="inlineStr">
        <is>
          <t>Crossiella equi</t>
        </is>
      </c>
      <c r="AF105" s="5" t="n">
        <v>130796</v>
      </c>
      <c r="AG105" s="5" t="inlineStr">
        <is>
          <t>supp_unavailable</t>
        </is>
      </c>
      <c r="AH105" s="5" t="inlineStr">
        <is>
          <t>ncbi</t>
        </is>
      </c>
      <c r="AI105" s="5" t="n"/>
      <c r="AJ105" s="5" t="n"/>
      <c r="AK105" s="5" t="n"/>
      <c r="AL105" s="5" t="n">
        <v>1</v>
      </c>
    </row>
    <row r="106" ht="15" customHeight="1" s="12">
      <c r="A106" s="5" t="inlineStr">
        <is>
          <t>retrieving_only</t>
        </is>
      </c>
      <c r="B106" s="5" t="inlineStr">
        <is>
          <t>MLRPGSRNLVTDVDGVLVGNREDQRLRSGVSVVLCERPSVASVDVRGGAPGTRETDLLDPSCRVDRIDAICLSGGSAFGLSSSDGVMRWLREQGRGVAIADVVVPIVPTAILFDLLNGGDKHWDWPPYRELAYEASAAAARDFALGNAGAGMGAKAGDLKGGLGSASAVDPASGLQVGALVAVNARGYTTMGDMPQFWAWALEQDKEFGGLPPPARGLALPVSHNRADLPHDPADAARADPRANTTIAVVATNARLDKASAKRLAVMAQDGLARSIRPVHTPQDGDTVFAIATGRHDLGGDPLALAELGTLAADCLARAVARGVYHAATLGAARGWRDVFGR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inlineStr">
        <is>
          <t>Nyl58</t>
        </is>
      </c>
      <c r="Z106" s="5" t="inlineStr">
        <is>
          <t>A0A6A7M915</t>
        </is>
      </c>
      <c r="AA106" s="5" t="inlineStr">
        <is>
          <t>Direct</t>
        </is>
      </c>
      <c r="AB106" s="5" t="n">
        <v>365</v>
      </c>
      <c r="AC106" s="5" t="inlineStr">
        <is>
          <t>10.1016/j.checat.2025.101418</t>
        </is>
      </c>
      <c r="AD106" s="5" t="inlineStr">
        <is>
          <t>MLRPGSRNLVTDVDGVLVGNREDQRLRSGVSVVLCERPSVASVDVRGGAPGTRETDLLDPSCRVDRIDAICLSGGSAFGLSSSDGVMRWLREQGRGVAIADVVVPIVPTAILFDLLNGGDKHWDWPPYRELAYEASAAAARDFALGNAGAGMGAKAGDLKGGLGSASAVDPASGLQVGALVAVNARGYTTMGDMPQFWAWALEQDKEFGGLPPPARGLALPVSHNRADLPHDPADAARADPRANTTIAVVATNARLDKASAKRLAVMAQDGLARSIRPVHTPQDGDTVFAIATGRHDLGGDPLALAELGTLAADCLARAVARGVYHAATLGAARGWRDVFGR</t>
        </is>
      </c>
      <c r="AE106" s="5" t="inlineStr">
        <is>
          <t>Rhodospirillales bacterium</t>
        </is>
      </c>
      <c r="AF106" s="5" t="n">
        <v>2026786</v>
      </c>
      <c r="AG106" s="5" t="inlineStr">
        <is>
          <t>supp_unavailable</t>
        </is>
      </c>
      <c r="AH106" s="5" t="inlineStr">
        <is>
          <t>uniparc</t>
        </is>
      </c>
      <c r="AI106" s="5" t="n"/>
      <c r="AJ106" s="5" t="n"/>
      <c r="AK106" s="5" t="n"/>
      <c r="AL106" s="5" t="n">
        <v>1</v>
      </c>
    </row>
    <row r="107" ht="15" customHeight="1" s="12">
      <c r="A107" s="5" t="inlineStr">
        <is>
          <t>retrieving_only</t>
        </is>
      </c>
      <c r="B107" s="5" t="inlineStr">
        <is>
          <t>MSIVRVKSIICTLVGAGILAGSLVLPSAFAQDNSDGRYRPEGRTFARGAANLFDDRLFEARTYVTGTDVAEFASATIFYPLTLSFDLPNGVVVMSPGYTGTPESYDWWGPMLASVGIITAIIETNTPEDNLEQRKNALIAGIELIKRENANSASPINNKVDESQIAIMGHSLGGGASLRAAEELEGDIKAVIPLTPYCCELGQSFEGDLKGVSTPTLIIAAADDTIAPPETHSRLLYDEINSSTNKVYLEFAEGAHGLPTNQGSEFQTQGTYVYAFLKANFTNDSKYSDFIGGDGEDSFSSYETN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inlineStr">
        <is>
          <t>APET-29</t>
        </is>
      </c>
      <c r="Z107" s="5" t="inlineStr">
        <is>
          <t>MBE65357.1</t>
        </is>
      </c>
      <c r="AA107" s="5" t="inlineStr">
        <is>
          <t>Direct</t>
        </is>
      </c>
      <c r="AB107" s="5" t="n">
        <v>268</v>
      </c>
      <c r="AC107" s="5" t="inlineStr">
        <is>
          <t>10.1038/s41467-025-61599-z</t>
        </is>
      </c>
      <c r="AD107" s="5" t="inlineStr">
        <is>
          <t>MSIVRVKSIICTLVGAGILAGSLVLPSAFAQDNSDGRYRPEGRTFARGAANLFDDRLFEARTYVTGTDVAEFASATIFYPLTLSFDLPNGVVVMSPGYTGTPESYDWWGPMLASVGIITAIIETNTPEDNLEQRKNALIAGIELIKRENANSASPINNKVDESQIAIMGHSLGGGASLRAAEELEGDIKAVIPLTPYCCELGQSFEGDLKGVSTPTLIIAAADDTIAPPETHSRLLYDEINSSTNKVYLEFAEGAHGLPTNQGSEFQTQGTYVYAFLKANFTNDSKYSDFIGGDGEDSFSSYETN</t>
        </is>
      </c>
      <c r="AE107" s="5" t="inlineStr">
        <is>
          <t>Gammaproteobacteria bacterium</t>
        </is>
      </c>
      <c r="AF107" s="5" t="n">
        <v>1913989</v>
      </c>
      <c r="AG107" s="5" t="inlineStr">
        <is>
          <t>supp_unavailable</t>
        </is>
      </c>
      <c r="AH107" s="5" t="inlineStr">
        <is>
          <t>ncbi</t>
        </is>
      </c>
      <c r="AI107" s="5" t="n"/>
      <c r="AJ107" s="5" t="n"/>
      <c r="AK107" s="5" t="n"/>
      <c r="AL107" s="5" t="n">
        <v>1</v>
      </c>
    </row>
    <row r="108" ht="15" customHeight="1" s="12">
      <c r="A108" s="5" t="inlineStr">
        <is>
          <t>retrieving_only</t>
        </is>
      </c>
      <c r="B108" s="5" t="inlineStr">
        <is>
          <t>MLKKTLAMLLALVMMLSICCTTAFAASEQSTKNITNVTTESDVSVYRDLMLVAGKYVFYPADFETTTKKYPVVTWANGSWCPIQTYLPIIYGLVKAGYIVVADTDLLTDDGKSTVDSVSYIIKQNKNKNSMFYKRINTKQIGSTGHSLGGQAAVNASAKDSRIKAIVSLAGKSVADEAAKVTVPALYLSGTLDMIVPSKDYVYPSYKASKGPAAYASFNNMVHFGVWIAPGNYVKYTVAWFDVYLKGDKSKLSMFKKGGDLSTDDFWINYESKNL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inlineStr">
        <is>
          <t>HGMP01</t>
        </is>
      </c>
      <c r="Z108" s="5" t="n"/>
      <c r="AA108" s="5" t="inlineStr">
        <is>
          <t>Direct</t>
        </is>
      </c>
      <c r="AB108" s="5" t="n">
        <v>243</v>
      </c>
      <c r="AC108" s="5" t="inlineStr">
        <is>
          <t>10.1016/j.ijbiomac.2024.137732</t>
        </is>
      </c>
      <c r="AD108" s="5" t="inlineStr">
        <is>
          <t>MLKKTLAMLLALVMMLSICCTTAFAASEQSTKNITNVTTESDVSVYRDLMLVAGKYVFYPADFETTTKKYPVVTWANGSWCPIQTYLPIIYGLVKAGYIVVADTDLLTDDGKSTVDSVSYIIKQNKNKNSMFYKRINTKQIGSTGHSLGGQAAVNASAKDSRIKAIVSLAGKSVADEAAKVTVPALYLSGTLDMIVPSKDYVYPSYKASKGPAAYASFNNMVHFGVWIAPGNYVKYTVAWFDVYLKGDKSKLSMFKKGGDLSTDDFWINYESKNL</t>
        </is>
      </c>
      <c r="AE108" s="5" t="n"/>
      <c r="AF108" s="5" t="n"/>
      <c r="AG108" s="5" t="n"/>
      <c r="AH108" s="5" t="n"/>
      <c r="AI108" s="5" t="n"/>
      <c r="AJ108" s="5" t="n"/>
      <c r="AK108" s="5" t="n"/>
      <c r="AL108" s="5" t="n">
        <v>1</v>
      </c>
    </row>
    <row r="109" ht="15" customHeight="1" s="12">
      <c r="A109" s="5" t="inlineStr">
        <is>
          <t>retrieving_only</t>
        </is>
      </c>
      <c r="B109" s="5" t="inlineStr">
        <is>
          <t>MLIRPVTFRNMNQQIIGILHTPDNIRLNEKVPGILMFHGFTGNKTEAHRLFVHVARSLSEHGFIVLRFDFRGSGDSDGEFEDMTLPGEVSDAERALTFLLRQRNVDKNRIGVIGLSMGGRVAAILASKDRRVKFAVLYSPALGPLRDRSLSFMSKEKIERLNSGEAVEFFAEGWYIKKAFFETVDYIVPLDIMDSIKVPVLIVHGDKDPLIPVGEAIRAYEKIKGVNEKNELYIVRGGDHTFSKKEHTLEVIKKTLDWIRSLGILEHHHHHH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>
        <v>211</v>
      </c>
      <c r="Z109" s="5" t="n"/>
      <c r="AA109" s="5" t="inlineStr">
        <is>
          <t>Direct</t>
        </is>
      </c>
      <c r="AB109" s="5" t="n">
        <v>136</v>
      </c>
      <c r="AC109" s="5" t="inlineStr">
        <is>
          <t>10.1038/s41467-022-35237-x</t>
        </is>
      </c>
      <c r="AD109" s="5" t="inlineStr">
        <is>
          <t>MLIRPVTFRNMNQQIIGILHTPDNIRLNEKVPGILMFHGFTGNKTEAHRLFVHVARSLSEHGFIVLRFDFRGSGDSDGEFEDMTLPGEVSDAERALTFLLRQRNVDKNRIGVIGLSMGGRVAAILASKDRRVKFAVLYSPALGPLRDRSLSFMSKEKIERLNSGEAVEFFAEGWYIKKAFFETVDYIVPLDIMDSIKVPVLIVHGDKDPLIPVGEAIRAYEKIKGVNEKNELYIVRGGDHTFSKKEHTLEVIKKTLDWIRSLGILEHHHHHH</t>
        </is>
      </c>
      <c r="AE109" s="5" t="n"/>
      <c r="AF109" s="5" t="n"/>
      <c r="AG109" s="5" t="n"/>
      <c r="AH109" s="5" t="n"/>
      <c r="AI109" s="5" t="n"/>
      <c r="AJ109" s="5" t="n"/>
      <c r="AK109" s="5" t="n"/>
      <c r="AL109" s="5" t="n">
        <v>1</v>
      </c>
    </row>
    <row r="110" ht="15" customHeight="1" s="12">
      <c r="A110" s="5" t="inlineStr">
        <is>
          <t>retrieving_only</t>
        </is>
      </c>
      <c r="B110" s="5" t="inlineStr">
        <is>
          <t>MRPHAHHPPSSEESPADRVSPGIRGRLFKLAAAGIAAAVGLFTMTVATGSASAADNPYQRGPDPTRTSVTAVNGPFANTSVSVPTGYGFNGGRIYYPTDTSQGTFGAIAISPGYTALFSAELAWMGPWLASHGFVVIGIETNSRNDFDTARGTQLLAALDYLTQQSPVRDRVDPNRLAVSGHSMGGGGALSAAMRRSSLKAVVGITPYSPSSNLANDRVPTMIISGQADTVVTPSYALGLYNSIPTTTKSVYLEVAGGDHGFMVGRSNPVMVRTMLPFVKMFIDNDARYSQFLCPLLDNSGVVTYRSTCPLLPTTPPTGTPTPTPTNSPTTPPPGSASGIVGAQSGRCIDVPNASRSNGTRVQLYDCNRQSNQSWTYTANKQLRVYGDMCLDAAGSGNGAAVQIYSCHNQTNQQWNVNSNGTITGVQSGRCLDVWSTSNGAQVQLYDCHGQANQQFRLAPLA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inlineStr">
        <is>
          <t>ESM059</t>
        </is>
      </c>
      <c r="Z110" s="5" t="inlineStr">
        <is>
          <t>WP_111214096.1</t>
        </is>
      </c>
      <c r="AA110" s="5" t="inlineStr">
        <is>
          <t>Direct</t>
        </is>
      </c>
      <c r="AB110" s="5" t="n">
        <v>420</v>
      </c>
      <c r="AC110" s="5" t="inlineStr">
        <is>
          <t>10.1021/acscatal.5c03460</t>
        </is>
      </c>
      <c r="AD110" s="5" t="inlineStr">
        <is>
          <t>MRPHAHHPPSSEESPADRVSPGIRGRLFKLAAAGIAAAVGLFTMTVATGSASAADNPYQRGPDPTRTSVTAVNGPFANTSVSVPTGYGFNGGRIYYPTDTSQGTFGAIAISPGYTALFSAELAWMGPWLASHGFVVIGIETNSRNDFDTARGTQLLAALDYLTQQSPVRDRVDPNRLAVSGHSMGGGGALSAAMRRSSLKAVVGITPYSPSSNLANDRVPTMIISGQADTVVTPSYALGLYNSIPTTTKSVYLEVAGGDHGFMVGRSNPVMVRTMLPFVKMFIDNDARYSQFLCPLLDNSGVVTYRSTCPLLPTTPPTGTPTPTPTNSPTTPPPGSASGIVGAQSGRCIDVPNASRSNGTRVQLYDCNRQSNQSWTYTANKQLRVYGDMCLDAAGSGNGAAVQIYSCHNQTNQQWNVNSNGTITGVQSGRCLDVWSTSNGAQVQLYDCHGQANQQFRLAPLA</t>
        </is>
      </c>
      <c r="AE110" s="5" t="inlineStr">
        <is>
          <t>Micromonospora craterilacus</t>
        </is>
      </c>
      <c r="AF110" s="5" t="n">
        <v>1655439</v>
      </c>
      <c r="AG110" s="5" t="inlineStr">
        <is>
          <t>seq_in_supp</t>
        </is>
      </c>
      <c r="AH110" s="5" t="inlineStr">
        <is>
          <t>ncbi</t>
        </is>
      </c>
      <c r="AI110" s="5" t="n"/>
      <c r="AJ110" s="5" t="n"/>
      <c r="AK110" s="5" t="n"/>
      <c r="AL110" s="5" t="n">
        <v>1</v>
      </c>
    </row>
    <row r="111" ht="15" customHeight="1" s="12">
      <c r="A111" s="5" t="inlineStr">
        <is>
          <t>retrieving_only</t>
        </is>
      </c>
      <c r="B111" s="5" t="inlineStr">
        <is>
          <t>MMFVKKRSLQILIALALVIGSMAFIQPKEVKAAEHNPVVMVHGIGGASYNFYSIKSYLVGQGWDRNQLYAIDFIDKTGNNRNNGPRLSRFVKDVLDKTGAKKVDIVAHSMGGANTLYYIKNLDGGDKIENVVTIGGANGLVSSRALPGTDPNQKILYTSVYSSADLIVVNSLSRLIGARNVLIHGVGHIGLLTSSQVKGYIKEGLNGGGQNTN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inlineStr">
        <is>
          <t>TGL</t>
        </is>
      </c>
      <c r="Z111" s="5" t="inlineStr">
        <is>
          <t>WAT79796.1</t>
        </is>
      </c>
      <c r="AA111" s="5" t="inlineStr">
        <is>
          <t>Direct</t>
        </is>
      </c>
      <c r="AB111" s="5" t="n">
        <v>253</v>
      </c>
      <c r="AC111" s="5" t="inlineStr">
        <is>
          <t>10.1016/j.ijbiomac.2024.131916</t>
        </is>
      </c>
      <c r="AD111" s="5" t="inlineStr">
        <is>
          <t>MMFVKKRSLQILIALALVIGSMAFIQPKEVKAAEHNPVVMVHGIGGASYNFYSIKSYLVGQGWDRNQLYAIDFIDKTGNNRNNGPRLSRFVKDVLDKTGAKKVDIVAHSMGGANTLYYIKNLDGGDKIENVVTIGGANGLVSSRALPGTDPNQKILYTSVYSSADLIVVNSLSRLIGARNVLIHGVGHIGLLTSSQVKGYIKEGLNGGGQNTN</t>
        </is>
      </c>
      <c r="AE111" s="5" t="inlineStr">
        <is>
          <t>Bacillus safensis</t>
        </is>
      </c>
      <c r="AF111" s="5" t="n">
        <v>561879</v>
      </c>
      <c r="AG111" s="5" t="inlineStr">
        <is>
          <t>supp_unavailable</t>
        </is>
      </c>
      <c r="AH111" s="5" t="inlineStr">
        <is>
          <t>ncbi</t>
        </is>
      </c>
      <c r="AI111" s="5" t="n"/>
      <c r="AJ111" s="5" t="n"/>
      <c r="AK111" s="5" t="n"/>
      <c r="AL111" s="5" t="n">
        <v>1</v>
      </c>
    </row>
    <row r="112" ht="15" customHeight="1" s="12">
      <c r="A112" s="5" t="inlineStr">
        <is>
          <t>retrieving_only</t>
        </is>
      </c>
      <c r="B112" s="5" t="inlineStr">
        <is>
          <t>MPESETEPRVSGIAEADRPRSGRSGGLWRRTAAVAAAALCALSVAVAVRPALAADNPYQRGPDPTPASVGASRGTFATAQVSVPAGNGFGGGVIYYPTDTSQGRFGAVAVVPGYTATWAAEGAWMGPWLASFGFVVIGIDTNSRNDWDTARGTQLLAALDYLTQRSSVRDRVDASRAAVMGHSMGGGGAIYAALQRPSLKTTVGLAPFSASQTLNNMRVPTMLLAGQNDGTTTPASIRNYYGQVPSGVEKAYLELTGAGHGFPTSNNPTMMRNVIPWLKIFVDSDTRYTQFLCPLSNTNGIRSYESTCPLVPSPVPTDPPTSAPPTSTPPTTPPPTTPPPTTPAPGGPCAASYRTVNSWSGGFQGEVTVRAGGAPINGWTVRWTLGGGQSISQVWNGTLSTSGSTATVRNAPYNGSLPASGSTTFGFIANGSPSAPTLTCASP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>
        <v>1521</v>
      </c>
      <c r="Z112" s="5" t="inlineStr">
        <is>
          <t>WP_132337032.1</t>
        </is>
      </c>
      <c r="AA112" s="5" t="inlineStr">
        <is>
          <t>Direct</t>
        </is>
      </c>
      <c r="AB112" s="5" t="n">
        <v>283</v>
      </c>
      <c r="AC112" s="5" t="inlineStr">
        <is>
          <t>10.1126/science.adp5637</t>
        </is>
      </c>
      <c r="AD112" s="5" t="inlineStr">
        <is>
          <t>MPESETEPRVSGIAEADRPRSGRSGGLWRRTAAVAAAALCALSVAVAVRPALAADNPYQRGPDPTPASVGASRGTFATAQVSVPAGNGFGGGVIYYPTDTSQGRFGAVAVVPGYTATWAAEGAWMGPWLASFGFVVIGIDTNSRNDWDTARGTQLLAALDYLTQRSSVRDRVDASRAAVMGHSMGGGGAIYAALQRPSLKTTVGLAPFSASQTLNNMRVPTMLLAGQNDGTTTPASIRNYYGQVPSGVEKAYLELTGAGHGFPTSNNPTMMRNVIPWLKIFVDSDTRYTQFLCPLSNTNGIRSYESTCPLVPSPVPTDPPTSAPPTSTPPTTPPPTTPPPTTPAPGGPCAASYRTVNSWSGGFQGEVTVRAGGAPINGWTVRWTLGGGQSISQVWNGTLSTSGSTATVRNAPYNGSLPASGSTTFGFIANGSPSAPTLTCASP</t>
        </is>
      </c>
      <c r="AE112" s="5" t="inlineStr">
        <is>
          <t>Micromonospora sp. KC213</t>
        </is>
      </c>
      <c r="AF112" s="5" t="n">
        <v>2530378</v>
      </c>
      <c r="AG112" s="5" t="inlineStr">
        <is>
          <t>supp_unavailable</t>
        </is>
      </c>
      <c r="AH112" s="5" t="inlineStr">
        <is>
          <t>ncbi</t>
        </is>
      </c>
      <c r="AI112" s="5" t="n"/>
      <c r="AJ112" s="5" t="n"/>
      <c r="AK112" s="5" t="n"/>
      <c r="AL112" s="5" t="n">
        <v>1</v>
      </c>
    </row>
    <row r="113" ht="15" customHeight="1" s="12">
      <c r="A113" s="5" t="inlineStr">
        <is>
          <t>retrieving_only</t>
        </is>
      </c>
      <c r="B113" s="5" t="inlineStr">
        <is>
          <t>MPGHANHLPPPGDADTARVSPRRRRGMFTLAAAGLAAAVGLLSITVATGSASAADNPYQRGPDPTRTSVATENGPFANTSVSVPTGYGFNGGRIYYPTDTSQGTFGAIAISPGYTALFSAELAWMGPWLASHGFVVIGIETNSRNDFDTARGTQLLAALDYLTQQSPVRDRVDPNRLAVAGHSMGGGGALSAATRRSSLKAVVGIAPYSPSSNLANDRVPTMIFSGQADTVVTPSYATGLYNSLPATTESVYLEVAGADHGFMVGRSNPVMIRTMLPFVKMFIDNDARYSQFLCPLLDSNGVVTYRSTCPLLPSTPTTPTDPPTDPPTD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>
        <v>1571</v>
      </c>
      <c r="Z113" s="5" t="inlineStr">
        <is>
          <t>WP_124770494.1</t>
        </is>
      </c>
      <c r="AA113" s="5" t="inlineStr">
        <is>
          <t>Direct</t>
        </is>
      </c>
      <c r="AB113" s="5" t="n">
        <v>321</v>
      </c>
      <c r="AC113" s="5" t="inlineStr">
        <is>
          <t>10.1126/science.adp5637</t>
        </is>
      </c>
      <c r="AD113" s="5" t="inlineStr">
        <is>
          <t>MPGHANHLPPPGDADTARVSPRRRRGMFTLAAAGLAAAVGLLSITVATGSASAADNPYQRGPDPTRTSVATENGPFANTSVSVPTGYGFNGGRIYYPTDTSQGTFGAIAISPGYTALFSAELAWMGPWLASHGFVVIGIETNSRNDFDTARGTQLLAALDYLTQQSPVRDRVDPNRLAVAGHSMGGGGALSAATRRSSLKAVVGIAPYSPSSNLANDRVPTMIFSGQADTVVTPSYATGLYNSLPATTESVYLEVAGADHGFMVGRSNPVMIRTMLPFVKMFIDNDARYSQFLCPLLDSNGVVTYRSTCPLLPSTPTTPTDPPTDPPTD</t>
        </is>
      </c>
      <c r="AE113" s="5" t="inlineStr">
        <is>
          <t>Micromonospora inaquosa</t>
        </is>
      </c>
      <c r="AF113" s="5" t="n">
        <v>2203716</v>
      </c>
      <c r="AG113" s="5" t="inlineStr">
        <is>
          <t>supp_unavailable</t>
        </is>
      </c>
      <c r="AH113" s="5" t="inlineStr">
        <is>
          <t>ncbi</t>
        </is>
      </c>
      <c r="AI113" s="5" t="n"/>
      <c r="AJ113" s="5" t="n"/>
      <c r="AK113" s="5" t="n"/>
      <c r="AL113" s="5" t="n">
        <v>1</v>
      </c>
    </row>
    <row r="114" ht="15" customHeight="1" s="12">
      <c r="A114" s="5" t="inlineStr">
        <is>
          <t>retrieving_only</t>
        </is>
      </c>
      <c r="B114" s="5" t="inlineStr">
        <is>
          <t>MRGHGHHPPPSGNSHTDRVSPRFRGRLFKLAAAGIAAAVGLFTITVATGSASAADNPYQRGPDPTRTSVTAVNGPFANTSVSVPTGYGFNGGRIYYPTDTSQGTFGAIAISPGYTALFSAELAWMGPWLASHGFVVIGIETNSRNDFDTARGTQLLAALDYLTQQSPVRDRVDPNRLAVAGHSMGGGGALSAATRRSSLKAVVGIAPYSPSSNLANDRVPTMIFSGQADTVVTPSYATGLYNSLPATTESVYVEVAGADHGFMVGRSNPVMVRTMLPFVKMFIDNDTRYSQFLCPLLDSSGVVTYRSTCPLLPSTPTPTDPPTPTDPPTVPPGSASEIVGTQSGRCVDVPNASRTNGTRVQLYGCNKQTNQAWTYTSNKQLQVYGTMCLDAAGTANGAAVQIYSCHNQTNQQWNVNSNGTISNVQSGRCLDAWSTTNGAQIQLYDCHGQTNQQFRLAALAR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>
        <v>1620</v>
      </c>
      <c r="Z114" s="5" t="inlineStr">
        <is>
          <t>WP_112669767.1</t>
        </is>
      </c>
      <c r="AA114" s="5" t="inlineStr">
        <is>
          <t>Direct</t>
        </is>
      </c>
      <c r="AB114" s="5" t="n">
        <v>309</v>
      </c>
      <c r="AC114" s="5" t="inlineStr">
        <is>
          <t>10.1126/science.adp5637</t>
        </is>
      </c>
      <c r="AD114" s="5" t="inlineStr">
        <is>
          <t>MRGHGHHPPPSGNSHTDRVSPRFRGRLFKLAAAGIAAAVGLFTITVATGSASAADNPYQRGPDPTRTSVTAVNGPFANTSVSVPTGYGFNGGRIYYPTDTSQGTFGAIAISPGYTALFSAELAWMGPWLASHGFVVIGIETNSRNDFDTARGTQLLAALDYLTQQSPVRDRVDPNRLAVAGHSMGGGGALSAATRRSSLKAVVGIAPYSPSSNLANDRVPTMIFSGQADTVVTPSYATGLYNSLPATTESVYVEVAGADHGFMVGRSNPVMVRTMLPFVKMFIDNDTRYSQFLCPLLDSSGVVTYRSTCPLLPSTPTPTDPPTPTDPPTVPPGSASEIVGTQSGRCVDVPNASRTNGTRVQLYGCNKQTNQAWTYTSNKQLQVYGTMCLDAAGTANGAAVQIYSCHNQTNQQWNVNSNGTISNVQSGRCLDAWSTTNGAQIQLYDCHGQTNQQFRLAALAR</t>
        </is>
      </c>
      <c r="AE114" s="5" t="inlineStr">
        <is>
          <t>Micromonospora saelicesensis</t>
        </is>
      </c>
      <c r="AF114" s="5" t="n">
        <v>285676</v>
      </c>
      <c r="AG114" s="5" t="inlineStr">
        <is>
          <t>supp_unavailable</t>
        </is>
      </c>
      <c r="AH114" s="5" t="inlineStr">
        <is>
          <t>ncbi</t>
        </is>
      </c>
      <c r="AI114" s="5" t="n"/>
      <c r="AJ114" s="5" t="n"/>
      <c r="AK114" s="5" t="n"/>
      <c r="AL114" s="5" t="n">
        <v>1</v>
      </c>
    </row>
    <row r="115" ht="15" customHeight="1" s="12">
      <c r="A115" s="5" t="inlineStr">
        <is>
          <t>retrieving_only</t>
        </is>
      </c>
      <c r="B115" s="5" t="inlineStr">
        <is>
          <t>MQSFSRVFRAALAATALTVGTFGAVPAAVADDGYQRGPDPTEESIEAPRGTFEIGMAVVTRASADGFGGGTVYYPTDTSEGTFGAVAVSPGYSSSQAAIAWLGPRLASQGFVVFTIDTLSTSDSPTRRGDQVLAALSFLGRTELADRIDPDRLAVMGHSMGGGGSLEAAKDYPALQAIVPMTPWSVDKTFPEVTAPTLVIGAEDDVVARPRSHAEPIYESLPADGDKAYLELRDASHSAPSAPNTLIARYSLSWLKRYVDDDERYQQFLCPPPAVDDEISEYRSTCA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inlineStr">
        <is>
          <t>DP089</t>
        </is>
      </c>
      <c r="Z115" s="5" t="inlineStr">
        <is>
          <t>WP_129786244.1</t>
        </is>
      </c>
      <c r="AA115" s="5" t="inlineStr">
        <is>
          <t>Direct</t>
        </is>
      </c>
      <c r="AB115" s="5" t="n">
        <v>403</v>
      </c>
      <c r="AC115" s="5" t="inlineStr">
        <is>
          <t>10.1021/acscatal.5c03460</t>
        </is>
      </c>
      <c r="AD115" s="5" t="inlineStr">
        <is>
          <t>MQSFSRVFRAALAATALTVGTFGAVPAAVADDGYQRGPDPTEESIEAPRGTFEIGMAVVTRASADGFGGGTVYYPTDTSEGTFGAVAVSPGYSSSQAAIAWLGPRLASQGFVVFTIDTLSTSDSPTRRGDQVLAALSFLGRTELADRIDPDRLAVMGHSMGGGGSLEAAKDYPALQAIVPMTPWSVDKTFPEVTAPTLVIGAEDDVVARPRSHAEPIYESLPADGDKAYLELRDASHSAPSAPNTLIARYSLSWLKRYVDDDERYQQFLCPPPAVDDEISEYRSTCA</t>
        </is>
      </c>
      <c r="AE115" s="5" t="inlineStr">
        <is>
          <t>Promicromonospora panici</t>
        </is>
      </c>
      <c r="AF115" s="5" t="n">
        <v>2219658</v>
      </c>
      <c r="AG115" s="5" t="inlineStr">
        <is>
          <t>seq_in_supp</t>
        </is>
      </c>
      <c r="AH115" s="5" t="inlineStr">
        <is>
          <t>ncbi</t>
        </is>
      </c>
      <c r="AI115" s="5" t="n"/>
      <c r="AJ115" s="5" t="n"/>
      <c r="AK115" s="5" t="n"/>
      <c r="AL115" s="5" t="n">
        <v>1</v>
      </c>
    </row>
    <row r="116" ht="15" customHeight="1" s="12">
      <c r="A116" s="5" t="inlineStr">
        <is>
          <t>retrieving_only</t>
        </is>
      </c>
      <c r="B116" s="5" t="inlineStr">
        <is>
          <t>MQRQHPAIRFLVRAAMVFALMGAGITAAAAPAVADEIGQAPTAGNITGNGSFTTTSESISSLVSGFGGGRVYYPTTAGKYPVVAISPGFTATWSSLSWIGPRLSSWGFVVVGIETNSIYDQPASRGSQLLAALNWAVNSSSSAVRARVDGSRRGVAGHSMGGGGTLEALAADTTGLVKAGVPIAPWNSDKTWNNVSEPVMIVGGQSDTVAPVASHSIPFYNTLAGPKGYVELTGASHFFPQSTNATLSRALVAWFKRWLNQDSRFTPYTCGFSGLAVSDFRSNAC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inlineStr">
        <is>
          <t>ESM090</t>
        </is>
      </c>
      <c r="Z116" s="5" t="inlineStr">
        <is>
          <t>WP_229836555.1</t>
        </is>
      </c>
      <c r="AA116" s="5" t="inlineStr">
        <is>
          <t>Direct</t>
        </is>
      </c>
      <c r="AB116" s="5" t="n">
        <v>432</v>
      </c>
      <c r="AC116" s="5" t="inlineStr">
        <is>
          <t>10.1021/acscatal.5c03460</t>
        </is>
      </c>
      <c r="AD116" s="5" t="inlineStr">
        <is>
          <t>MQRQHPAIRFLVRAAMVFALMGAGITAAAAPAVADEIGQAPTAGNITGNGSFTTTSESISSLVSGFGGGRVYYPTTAGKYPVVAISPGFTATWSSLSWIGPRLSSWGFVVVGIETNSIYDQPASRGSQLLAALNWAVNSSSSAVRARVDGSRRGVAGHSMGGGGTLEALAADTTGLVKAGVPIAPWNSDKTWNNVSEPVMIVGGQSDTVAPVASHSIPFYNTLAGPKGYVELTGASHFFPQSTNATLSRALVAWFKRWLNQDSRFTPYTCGFSGLAVSDFRSNAC</t>
        </is>
      </c>
      <c r="AE116" s="5" t="inlineStr">
        <is>
          <t>Dactylosporangium sucinum</t>
        </is>
      </c>
      <c r="AF116" s="5" t="n">
        <v>1424081</v>
      </c>
      <c r="AG116" s="5" t="inlineStr">
        <is>
          <t>seq_in_supp</t>
        </is>
      </c>
      <c r="AH116" s="5" t="inlineStr">
        <is>
          <t>ncbi</t>
        </is>
      </c>
      <c r="AI116" s="5" t="n"/>
      <c r="AJ116" s="5" t="n"/>
      <c r="AK116" s="5" t="n"/>
      <c r="AL116" s="5" t="n">
        <v>1</v>
      </c>
    </row>
    <row r="117" ht="15" customHeight="1" s="12">
      <c r="A117" s="5" t="inlineStr">
        <is>
          <t>retrieving_only</t>
        </is>
      </c>
      <c r="B117" s="5" t="inlineStr">
        <is>
          <t>MQRHETIPRPSHRRPRGLHRLTAIAVAAAMALTTLGVAAPPASATERGLAPTAANITGDGSYGVVSATITGASGFGGGVVYYPNATERFPVVAISPGYTERWSSFAWLGRRLASWGFVVVGIETNSLFDQPNSRGTQLLRALDWASSSAPAAVRDRVDATRQGVSGHSMGGGGTLSAMDQRPSVRAGVPLAPWHTTTSWPRVTNPVMILGGQNDGIAPVSSHAIPMYTGVASGEKAYVELAGAGHNFPNSANPIVSRAAVSWFKRFLDDDTRFAPFACDFGGASISQFRSTCPV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inlineStr">
        <is>
          <t>Mipa-P</t>
        </is>
      </c>
      <c r="Z117" s="5" t="inlineStr">
        <is>
          <t>SDZ16714.1</t>
        </is>
      </c>
      <c r="AA117" s="5" t="inlineStr">
        <is>
          <t>Direct</t>
        </is>
      </c>
      <c r="AB117" s="5" t="n">
        <v>270</v>
      </c>
      <c r="AC117" s="5" t="inlineStr">
        <is>
          <t>10.1126/science.adp5637</t>
        </is>
      </c>
      <c r="AD117" s="5" t="inlineStr">
        <is>
          <t>MQRHETIPRPSHRRPRGLHRLTAIAVAAAMALTTLGVAAPPASATERGLAPTAANITGDGSYGVVSATITGASGFGGGVVYYPNATERFPVVAISPGYTERWSSFAWLGRRLASWGFVVVGIETNSLFDQPNSRGTQLLRALDWASSSAPAAVRDRVDATRQGVSGHSMGGGGTLSAMDQRPSVRAGVPLAPWHTTTSWPRVTNPVMILGGQNDGIAPVSSHAIPMYTGVASGEKAYVELAGAGHNFPNSANPIVSRAAVSWFKRFLDDDTRFAPFACDFGGASISQFRSTCPV</t>
        </is>
      </c>
      <c r="AE117" s="5" t="inlineStr">
        <is>
          <t>Micromonospora pattaloongensis</t>
        </is>
      </c>
      <c r="AF117" s="5" t="n">
        <v>405436</v>
      </c>
      <c r="AG117" s="5" t="inlineStr">
        <is>
          <t>supp_unavailable</t>
        </is>
      </c>
      <c r="AH117" s="5" t="inlineStr">
        <is>
          <t>ncbi</t>
        </is>
      </c>
      <c r="AI117" s="5" t="n"/>
      <c r="AJ117" s="5" t="n"/>
      <c r="AK117" s="5" t="n"/>
      <c r="AL117" s="5" t="n">
        <v>1</v>
      </c>
    </row>
    <row r="118" ht="15" customHeight="1" s="12">
      <c r="A118" s="5" t="inlineStr">
        <is>
          <t>retrieving_only</t>
        </is>
      </c>
      <c r="B118" s="5" t="inlineStr">
        <is>
          <t>MQQTISSPRRRLTRLIATTFVATALAAGTALGTGTPAYADEIGQAPTSSNITGNGSFSVSTYNISSLVTGFGGGVAYYPSTAGRYPVVAVSPGFTARWSSISWIGPRLASWGFVVVGIETNSVYDQPASRGSQLLAALNWAVNSAPSAITSRADGSRRGVAGHSMGGGGTLEALAADTTGNVKAGVPLAPWNSDKTWNNVNEPVQIIGGESDTVAGVSSHSIPFYNSLGGSKSYVELNGASHFFPQTTNATTSRALVSWFKRWLNQDARFTPFTCGYGGTAVSDFRTNAC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inlineStr">
        <is>
          <t>ESM177</t>
        </is>
      </c>
      <c r="Z118" s="5" t="inlineStr">
        <is>
          <t>WP_239086781.1</t>
        </is>
      </c>
      <c r="AA118" s="5" t="inlineStr">
        <is>
          <t>Direct</t>
        </is>
      </c>
      <c r="AB118" s="5" t="n">
        <v>451</v>
      </c>
      <c r="AC118" s="5" t="inlineStr">
        <is>
          <t>10.1021/acscatal.5c03460</t>
        </is>
      </c>
      <c r="AD118" s="5" t="inlineStr">
        <is>
          <t>MQQTISSPRRRLTRLIATTFVATALAAGTALGTGTPAYADEIGQAPTSSNITGNGSFSVSTYNISSLVTGFGGGVAYYPSTAGRYPVVAVSPGFTARWSSISWIGPRLASWGFVVVGIETNSVYDQPASRGSQLLAALNWAVNSAPSAITSRADGSRRGVAGHSMGGGGTLEALAADTTGNVKAGVPLAPWNSDKTWNNVNEPVQIIGGESDTVAGVSSHSIPFYNSLGGSKSYVELNGASHFFPQTTNATTSRALVSWFKRWLNQDARFTPFTCGYGGTAVSDFRTNAC</t>
        </is>
      </c>
      <c r="AE118" s="5" t="inlineStr">
        <is>
          <t>Catellatospora methionotrophica</t>
        </is>
      </c>
      <c r="AF118" s="5" t="n">
        <v>121620</v>
      </c>
      <c r="AG118" s="5" t="inlineStr">
        <is>
          <t>seq_in_supp</t>
        </is>
      </c>
      <c r="AH118" s="5" t="inlineStr">
        <is>
          <t>ncbi</t>
        </is>
      </c>
      <c r="AI118" s="5" t="n"/>
      <c r="AJ118" s="5" t="n"/>
      <c r="AK118" s="5" t="n"/>
      <c r="AL118" s="5" t="n">
        <v>1</v>
      </c>
    </row>
    <row r="119" ht="15" customHeight="1" s="12">
      <c r="A119" s="5" t="inlineStr">
        <is>
          <t>retrieving_only</t>
        </is>
      </c>
      <c r="B119" s="5" t="inlineStr">
        <is>
          <t>MQPYPVGTRTITYQDPVRNNRNIQTYLYYPATAAGANQPVAGGQFPVVVVGHGFTMNYAPYAFWGNALAESGYIVAIPNTETGFSPSHSAFAADMAFLVAKLYTENTNSSSPFYQHVQYNSCIIGHSMGGGCTYLAAQNNADVSATVTFAAAETNPSATAAAANVNCPSLVFSGSADCITPPAQHQVPMYNALPDCKAYGGSSRVDLQACKLEHHHHHH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>
        <v>301</v>
      </c>
      <c r="Z119" s="5" t="n"/>
      <c r="AA119" s="5" t="inlineStr">
        <is>
          <t>Direct</t>
        </is>
      </c>
      <c r="AB119" s="5" t="n">
        <v>138</v>
      </c>
      <c r="AC119" s="5" t="inlineStr">
        <is>
          <t>10.1038/s41467-022-35237-x</t>
        </is>
      </c>
      <c r="AD119" s="5" t="inlineStr">
        <is>
          <t>MQPYPVGTRTITYQDPVRNNRNIQTYLYYPATAAGANQPVAGGQFPVVVVGHGFTMNYAPYAFWGNALAESGYIVAIPNTETGFSPSHSAFAADMAFLVAKLYTENTNSSSPFYQHVQYNSCIIGHSMGGGCTYLAAQNNADVSATVTFAAAETNPSATAAAANVNCPSLVFSGSADCITPPAQHQVPMYNALPDCKAYGGSSRVDLQACKLEHHHHHH</t>
        </is>
      </c>
      <c r="AE119" s="5" t="n"/>
      <c r="AF119" s="5" t="n"/>
      <c r="AG119" s="5" t="n"/>
      <c r="AH119" s="5" t="n"/>
      <c r="AI119" s="5" t="n"/>
      <c r="AJ119" s="5" t="n"/>
      <c r="AK119" s="5" t="n"/>
      <c r="AL119" s="5" t="n">
        <v>1</v>
      </c>
    </row>
    <row r="120" ht="15" customHeight="1" s="12">
      <c r="A120" s="5" t="inlineStr">
        <is>
          <t>retrieving_only</t>
        </is>
      </c>
      <c r="B120" s="5" t="inlineStr">
        <is>
          <t>MQPTSRTAVTPSHPHPHPHRSRACRRSRRLAGTAAAVAAFLGLTTLGGPGAHAAADNPYERGPAPTQASIEAPRGPYAVSQTSVSSLVASGFGGGTIYYPTSTSDGTFGAVVVTPGFTATESSMAWLGPRLASQGFVVFTIDTLTTLDQPDSRGRQMLAALDHLTERSTVRSRVDSTRLGVIGHSMGGGGTLEAAKSRPSLKAAIPLTPWNLDKTWPEVTTPTLVVGADGDTVAPVATHAEPFYSSLPSTTDRAYLELNNATHFAPNISNTTIAKYSVSWLKRFIDDDTRYEQFLCPLPAPDRDIEEYRGKCPLGG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>
        <v>191</v>
      </c>
      <c r="Z120" s="5" t="inlineStr">
        <is>
          <t>WP_129849678.1</t>
        </is>
      </c>
      <c r="AA120" s="5" t="inlineStr">
        <is>
          <t>Direct</t>
        </is>
      </c>
      <c r="AB120" s="5" t="n">
        <v>336</v>
      </c>
      <c r="AC120" s="5" t="inlineStr">
        <is>
          <t>10.1126/science.adp5637</t>
        </is>
      </c>
      <c r="AD120" s="5" t="inlineStr">
        <is>
          <t>MQPTSRTAVTPSHPHPHPHRSRACRRSRRLAGTAAAVAAFLGLTTLGGPGAHAAADNPYERGPAPTQASIEAPRGPYAVSQTSVSSLVASGFGGGTIYYPTSTSDGTFGAVVVTPGFTATESSMAWLGPRLASQGFVVFTIDTLTTLDQPDSRGRQMLAALDHLTERSTVRSRVDSTRLGVIGHSMGGGGTLEAAKSRPSLKAAIPLTPWNLDKTWPEVTTPTLVVGADGDTVAPVATHAEPFYSSLPSTTDRAYLELNNATHFAPNISNTTIAKYSVSWLKRFIDDDTRYEQFLCPLPAPDRDIEEYRGKCPLGG</t>
        </is>
      </c>
      <c r="AE120" s="5" t="inlineStr">
        <is>
          <t>Streptomyces sp. SCA2-2</t>
        </is>
      </c>
      <c r="AF120" s="5" t="n">
        <v>1563677</v>
      </c>
      <c r="AG120" s="5" t="inlineStr">
        <is>
          <t>supp_unavailable</t>
        </is>
      </c>
      <c r="AH120" s="5" t="inlineStr">
        <is>
          <t>ncbi</t>
        </is>
      </c>
      <c r="AI120" s="5" t="n"/>
      <c r="AJ120" s="5" t="n"/>
      <c r="AK120" s="5" t="n"/>
      <c r="AL120" s="5" t="n">
        <v>1</v>
      </c>
    </row>
    <row r="121" ht="15" customHeight="1" s="12">
      <c r="A121" s="5" t="inlineStr">
        <is>
          <t>retrieving_only</t>
        </is>
      </c>
      <c r="B121" s="5" t="inlineStr">
        <is>
          <t>MRREIVKRSAVLTAALAVGASAFLGPQAFAGQAAVPVAVAGTSAFAKGPDPTEQSIQAQRGPFATAQRTVPSEAGRAFNRGTVHYPTDTSHGTYGAVVVSPGFFGPEFSVAWYGSTLASHGFVVLTLETNFLFDQPDARATQLLAGLDWLAARSPVKDRVDPNRLAVMGHSMGGGGTLIAASRNPALKAAIPLTPWNTSPDFSTVTVPTLVLGTDNDTVAPVARHADPMYASLRDKPDEGYVKLRGDHFTPIRYTAAATRFIVPWLKRYVDEDTRYSRFLCPLPAPDATLVSFELRCPV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inlineStr">
        <is>
          <t>DP040</t>
        </is>
      </c>
      <c r="Z121" s="5" t="inlineStr">
        <is>
          <t>WP_233427406.1</t>
        </is>
      </c>
      <c r="AA121" s="5" t="inlineStr">
        <is>
          <t>Direct</t>
        </is>
      </c>
      <c r="AB121" s="5" t="n">
        <v>390</v>
      </c>
      <c r="AC121" s="5" t="inlineStr">
        <is>
          <t>10.1021/acscatal.5c03460</t>
        </is>
      </c>
      <c r="AD121" s="5" t="inlineStr">
        <is>
          <t>MRREIVKRSAVLTAALAVGASAFLGPQAFAGQAAVPVAVAGTSAFAKGPDPTEQSIQAQRGPFATAQRTVPSEAGRAFNRGTVHYPTDTSHGTYGAVVVSPGFFGPEFSVAWYGSTLASHGFVVLTLETNFLFDQPDARATQLLAGLDWLAARSPVKDRVDPNRLAVMGHSMGGGGTLIAASRNPALKAAIPLTPWNTSPDFSTVTVPTLVLGTDNDTVAPVARHADPMYASLRDKPDEGYVKLRGDHFTPIRYTAAATRFIVPWLKRYVDEDTRYSRFLCPLPAPDATLVSFELRCPV</t>
        </is>
      </c>
      <c r="AE121" s="5" t="inlineStr">
        <is>
          <t>Actinokineospora spheciospongiae</t>
        </is>
      </c>
      <c r="AF121" s="5" t="n">
        <v>909613</v>
      </c>
      <c r="AG121" s="5" t="inlineStr">
        <is>
          <t>seq_in_supp</t>
        </is>
      </c>
      <c r="AH121" s="5" t="inlineStr">
        <is>
          <t>ncbi</t>
        </is>
      </c>
      <c r="AI121" s="5" t="n"/>
      <c r="AJ121" s="5" t="n"/>
      <c r="AK121" s="5" t="n"/>
      <c r="AL121" s="5" t="n">
        <v>1</v>
      </c>
    </row>
    <row r="122" ht="15" customHeight="1" s="12">
      <c r="A122" s="5" t="inlineStr">
        <is>
          <t>retrieving_only</t>
        </is>
      </c>
      <c r="B122" s="5" t="inlineStr">
        <is>
          <t>MQPRRLRLPAVLAAALTLALALGAPAHAASPYERGPNPTTAILEASSGPYSVSSVSVSSLVTGFGGGRIYYPTTTADGTFGGIAISPGFTARWSSLEWLGPRIASHGFVVIGIETNSIYDQPTSRGQQLLAALDYLVNSSSARTRVDRNRLAVAGHSMGGGGTLYAANARPSLQAAVPIAPWNTDKTWGGVQVPTMIIGGESDSVAPVATHAIPFYTSIPASSEKAYLELNNASHFFPQTVNTTMAKSMVSWLKRYVDDDTRYDPWLCPAPSGLSISDYRDTCPA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inlineStr">
        <is>
          <t>DP084</t>
        </is>
      </c>
      <c r="Z122" s="5" t="inlineStr">
        <is>
          <t>NUT34383.1</t>
        </is>
      </c>
      <c r="AA122" s="5" t="inlineStr">
        <is>
          <t>Direct</t>
        </is>
      </c>
      <c r="AB122" s="5" t="n">
        <v>402</v>
      </c>
      <c r="AC122" s="5" t="inlineStr">
        <is>
          <t>10.1021/acscatal.5c03460</t>
        </is>
      </c>
      <c r="AD122" s="5" t="inlineStr">
        <is>
          <t>MQPRRLRLPAVLAAALTLALALGAPAHAASPYERGPNPTTAILEASSGPYSVSSVSVSSLVTGFGGGRIYYPTTTADGTFGGIAISPGFTARWSSLEWLGPRIASHGFVVIGIETNSIYDQPTSRGQQLLAALDYLVNSSSARTRVDRNRLAVAGHSMGGGGTLYAANARPSLQAAVPIAPWNTDKTWGGVQVPTMIIGGESDSVAPVATHAIPFYTSIPASSEKAYLELNNASHFFPQTVNTTMAKSMVSWLKRYVDDDTRYDPWLCPAPSGLSISDYRDTCPA</t>
        </is>
      </c>
      <c r="AE122" s="5" t="inlineStr">
        <is>
          <t>Hamadaea sp.</t>
        </is>
      </c>
      <c r="AF122" s="5" t="n">
        <v>2024425</v>
      </c>
      <c r="AG122" s="5" t="inlineStr">
        <is>
          <t>seq_in_supp</t>
        </is>
      </c>
      <c r="AH122" s="5" t="inlineStr">
        <is>
          <t>ncbi</t>
        </is>
      </c>
      <c r="AI122" s="5" t="n"/>
      <c r="AJ122" s="5" t="n"/>
      <c r="AK122" s="5" t="n"/>
      <c r="AL122" s="5" t="n">
        <v>1</v>
      </c>
    </row>
    <row r="123" ht="15" customHeight="1" s="12">
      <c r="A123" s="5" t="inlineStr">
        <is>
          <t>retrieving_only</t>
        </is>
      </c>
      <c r="B123" s="5" t="inlineStr">
        <is>
          <t>MRGHGHHPPPSGNTPAARTSRFRGRLFKLAAAGLAAAVGLFTLTVTTGSASAADNPYQRGPDPTRTSVTAVNGPFANTSVSVPTGYGFNGGRIYYPTDTSQGTFGAIAISPGYTALFSAELAWMGPWLASHGFVVIGIETNSRNDFDTARGTQLLAALDYLTQQSPVRDRVDPNRLAVAGHSMGGGGALSAATRRSSLKAVVGIAPYSPSSNLANDRVPTMIFAGQADTVVTPSYATNLYNSLPTTTESVYLEVAGADHGFMVGRSNPVMVRTMLPFVKMFVDNDTRYSQFLCPLADSSGVVTYRSTCPLLPSTPTTPTATPTNTPTPTASPTVPPGSASQIVGTQSGRCIDVPNASHTNGTRVALYDCNRQSNQSWTYTSTKQLQVYGTMCLDAAGSGNGAAVQIYGCHSQTNQQWNVNSNGTISSVQSGRCLDVWSTANGAQVQLYDCHGQTNQQFRLVSLAR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>
        <v>1603</v>
      </c>
      <c r="Z123" s="5" t="inlineStr">
        <is>
          <t>WP_110567505.1</t>
        </is>
      </c>
      <c r="AA123" s="5" t="inlineStr">
        <is>
          <t>Direct</t>
        </is>
      </c>
      <c r="AB123" s="5" t="n">
        <v>274</v>
      </c>
      <c r="AC123" s="5" t="inlineStr">
        <is>
          <t>10.1126/science.adp5637</t>
        </is>
      </c>
      <c r="AD123" s="5" t="inlineStr">
        <is>
          <t>MRGHGHHPPPSGNTPAARTSRFRGRLFKLAAAGLAAAVGLFTLTVTTGSASAADNPYQRGPDPTRTSVTAVNGPFANTSVSVPTGYGFNGGRIYYPTDTSQGTFGAIAISPGYTALFSAELAWMGPWLASHGFVVIGIETNSRNDFDTARGTQLLAALDYLTQQSPVRDRVDPNRLAVAGHSMGGGGALSAATRRSSLKAVVGIAPYSPSSNLANDRVPTMIFAGQADTVVTPSYATNLYNSLPTTTESVYLEVAGADHGFMVGRSNPVMVRTMLPFVKMFVDNDTRYSQFLCPLADSSGVVTYRSTCPLLPSTPTTPTATPTNTPTPTASPTVPPGSASQIVGTQSGRCIDVPNASHTNGTRVALYDCNRQSNQSWTYTSTKQLQVYGTMCLDAAGSGNGAAVQIYGCHSQTNQQWNVNSNGTISSVQSGRCLDVWSTANGAQVQLYDCHGQTNQQFRLVSLAR</t>
        </is>
      </c>
      <c r="AE123" s="5" t="inlineStr">
        <is>
          <t>Micromonospora arborensis</t>
        </is>
      </c>
      <c r="AF123" s="5" t="n">
        <v>2116518</v>
      </c>
      <c r="AG123" s="5" t="inlineStr">
        <is>
          <t>supp_unavailable</t>
        </is>
      </c>
      <c r="AH123" s="5" t="inlineStr">
        <is>
          <t>ncbi</t>
        </is>
      </c>
      <c r="AI123" s="5" t="n"/>
      <c r="AJ123" s="5" t="n"/>
      <c r="AK123" s="5" t="n"/>
      <c r="AL123" s="5" t="n">
        <v>1</v>
      </c>
    </row>
    <row r="124" ht="15" customHeight="1" s="12">
      <c r="A124" s="5" t="inlineStr">
        <is>
          <t>retrieving_only</t>
        </is>
      </c>
      <c r="B124" s="5" t="inlineStr">
        <is>
          <t>MRRHSFLSILLICMLSVVSVFSFRPSAASAASHNPVVMVHGIGGADYNFIGIKSYLQSQGWTSSELYAINFIDKTGNNINNAPRLSEYIKRVLNQTGASKVDIVAHSMGGANTLYYIKNLDGADKVGHVVTLGGANRLVTNTAPQNDKISYTSIYSTSDYIVLNSLSKLDGANNVQISGVSHVGLLFSSKVNALIKDGLTASGK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inlineStr">
        <is>
          <t>JW44_1708</t>
        </is>
      </c>
      <c r="Z124" s="5" t="n"/>
      <c r="AA124" s="5" t="inlineStr">
        <is>
          <t>Direct</t>
        </is>
      </c>
      <c r="AB124" s="5" t="n">
        <v>487</v>
      </c>
      <c r="AC124" s="5" t="inlineStr">
        <is>
          <t>10.1021/acs.est.4c07279</t>
        </is>
      </c>
      <c r="AD124" s="5" t="inlineStr">
        <is>
          <t>MRRHSFLSILLICMLSVVSVFSFRPSAASAASHNPVVMVHGIGGADYNFIGIKSYLQSQGWTSSELYAINFIDKTGNNINNAPRLSEYIKRVLNQTGASKVDIVAHSMGGANTLYYIKNLDGADKVGHVVTLGGANRLVTNTAPQNDKISYTSIYSTSDYIVLNSLSKLDGANNVQISGVSHVGLLFSSKVNALIKDGLTASGK</t>
        </is>
      </c>
      <c r="AE124" s="5" t="n"/>
      <c r="AF124" s="5" t="n"/>
      <c r="AG124" s="5" t="n"/>
      <c r="AH124" s="5" t="n"/>
      <c r="AI124" s="5" t="n"/>
      <c r="AJ124" s="5" t="n"/>
      <c r="AK124" s="5" t="n"/>
      <c r="AL124" s="5" t="n">
        <v>1</v>
      </c>
    </row>
    <row r="125" ht="15" customHeight="1" s="12">
      <c r="A125" s="5" t="inlineStr">
        <is>
          <t>retrieving_only</t>
        </is>
      </c>
      <c r="B125" s="5" t="inlineStr">
        <is>
          <t>MRRHTPHPPPPEDSHADRVPPGVRGRLLTLVTAGIAAAGIAAAVGLFTVTAATGPASAADNPYQRGPDPSRTSVATETGPFANASVSVPTGYGFNGGRIYYPTDSSQGTFGAIAISPGYTALFSAELAWMGPWLASHGFVVIGIETNSRNDFDTARGTQLLAALDYLTQQSPVRDRVDPNRLAVAGHSMGGGGALSAAVRRSSLKAAVGIAPYSPSSNLANDRVPTMVFSGQADTVVTPSYAIGLYNSLPTTTESVYLEVAGADHGFMVGRSNPVMIRTMLPFVKMFIDNDTRYSQFLCPLLDSSGVVTYRSTCPLLPTTPTTPPVNPTTPPVNPTVSPTGAPGSASEIVGVQSGRCVDVPNASRTNGTRVQLYDCNRQSQQSWTYTSGRQLRVYGDMCLDAAGSGNGAAVQIYACHSQTNQQWNVNSNGTISGVQSGRCLDVWSTANGAQVQLYDCHGQTNQRFNVMPLAR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inlineStr">
        <is>
          <t>TEP092</t>
        </is>
      </c>
      <c r="Z125" s="5" t="inlineStr">
        <is>
          <t>GIG90696.1</t>
        </is>
      </c>
      <c r="AA125" s="5" t="inlineStr">
        <is>
          <t>Direct</t>
        </is>
      </c>
      <c r="AB125" s="5" t="n">
        <v>463</v>
      </c>
      <c r="AC125" s="5" t="inlineStr">
        <is>
          <t>10.1021/acscatal.5c03460</t>
        </is>
      </c>
      <c r="AD125" s="5" t="inlineStr">
        <is>
          <t>MRRHTPHPPPPEDSHADRVPPGVRGRLLTLVTAGIAAAGIAAAVGLFTVTAATGPASAADNPYQRGPDPSRTSVATETGPFANASVSVPTGYGFNGGRIYYPTDSSQGTFGAIAISPGYTALFSAELAWMGPWLASHGFVVIGIETNSRNDFDTARGTQLLAALDYLTQQSPVRDRVDPNRLAVAGHSMGGGGALSAAVRRSSLKAAVGIAPYSPSSNLANDRVPTMVFSGQADTVVTPSYAIGLYNSLPTTTESVYLEVAGADHGFMVGRSNPVMIRTMLPFVKMFIDNDTRYSQFLCPLLDSSGVVTYRSTCPLLPTTPTTPPVNPTTPPVNPTVSPTGAPGSASEIVGVQSGRCVDVPNASRTNGTRVQLYDCNRQSQQSWTYTSGRQLRVYGDMCLDAAGSGNGAAVQIYACHSQTNQQWNVNSNGTISGVQSGRCLDVWSTANGAQVQLYDCHGQTNQRFNVMPLAR</t>
        </is>
      </c>
      <c r="AE125" s="5" t="inlineStr">
        <is>
          <t>Plantactinospora endophytica</t>
        </is>
      </c>
      <c r="AF125" s="5" t="n">
        <v>673535</v>
      </c>
      <c r="AG125" s="5" t="inlineStr">
        <is>
          <t>seq_in_supp</t>
        </is>
      </c>
      <c r="AH125" s="5" t="inlineStr">
        <is>
          <t>ncbi</t>
        </is>
      </c>
      <c r="AI125" s="5" t="n"/>
      <c r="AJ125" s="5" t="n"/>
      <c r="AK125" s="5" t="n"/>
      <c r="AL125" s="5" t="n">
        <v>1</v>
      </c>
    </row>
    <row r="126" ht="15" customHeight="1" s="12">
      <c r="A126" s="5" t="inlineStr">
        <is>
          <t>retrieving_only</t>
        </is>
      </c>
      <c r="B126" s="5" t="inlineStr">
        <is>
          <t>MRGHGYHPPPSGNTRADRVSPRFRGRLFKLAAAGIAAAVGLLTITVATGSASAADNPYQRGPDPTRTSVTAVNGPFANTSVSVPTGYGFNGGRIYYPTDTSQGTFGAIAISPGYTALFSAELAWMGPWLASHGFVVIGIETNSRNDFDTARGTQLLAALDYLTQQSPVRDRVDPNRLAVAGHSMGGGGALSAAIRRSSLKAVVGIAPYSPSSNLANDRVPTMIFAGQADTVVTPSYATGLYNSLPTTTESVYLEVAGADHGFMVGRSNPVMVRTMLPFVKMFIDNDARYSQFLCPLLDSSGVVTYRSTCPLLPSTPTDPPTPTDPPTPTDPPTVPPGSASEIVGTQSGRCVDVPNASRNNGTRVQLYGCNKQTNQAWTYTSNKQLQVYGTMCLDAAGTANGAAVQIYTCHSQTNQQWNVNSNGTISNVQSGRCLDAWSTANGAQIQLYDCHGQTNQQFRLAALAQ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>
        <v>1611</v>
      </c>
      <c r="Z126" s="5" t="inlineStr">
        <is>
          <t>WP_124822775.1</t>
        </is>
      </c>
      <c r="AA126" s="5" t="inlineStr">
        <is>
          <t>Direct</t>
        </is>
      </c>
      <c r="AB126" s="5" t="n">
        <v>272</v>
      </c>
      <c r="AC126" s="5" t="inlineStr">
        <is>
          <t>10.1126/science.adp5637</t>
        </is>
      </c>
      <c r="AD126" s="5" t="inlineStr">
        <is>
          <t>MRGHGYHPPPSGNTRADRVSPRFRGRLFKLAAAGIAAAVGLLTITVATGSASAADNPYQRGPDPTRTSVTAVNGPFANTSVSVPTGYGFNGGRIYYPTDTSQGTFGAIAISPGYTALFSAELAWMGPWLASHGFVVIGIETNSRNDFDTARGTQLLAALDYLTQQSPVRDRVDPNRLAVAGHSMGGGGALSAAIRRSSLKAVVGIAPYSPSSNLANDRVPTMIFAGQADTVVTPSYATGLYNSLPTTTESVYLEVAGADHGFMVGRSNPVMVRTMLPFVKMFIDNDARYSQFLCPLLDSSGVVTYRSTCPLLPSTPTDPPTPTDPPTPTDPPTVPPGSASEIVGTQSGRCVDVPNASRNNGTRVQLYGCNKQTNQAWTYTSNKQLQVYGTMCLDAAGTANGAAVQIYTCHSQTNQQWNVNSNGTISNVQSGRCLDAWSTANGAQIQLYDCHGQTNQQFRLAALAQ</t>
        </is>
      </c>
      <c r="AE126" s="5" t="inlineStr">
        <is>
          <t>Micromonospora ureilytica</t>
        </is>
      </c>
      <c r="AF126" s="5" t="n">
        <v>709868</v>
      </c>
      <c r="AG126" s="5" t="inlineStr">
        <is>
          <t>supp_unavailable</t>
        </is>
      </c>
      <c r="AH126" s="5" t="inlineStr">
        <is>
          <t>ncbi</t>
        </is>
      </c>
      <c r="AI126" s="5" t="n"/>
      <c r="AJ126" s="5" t="n"/>
      <c r="AK126" s="5" t="n"/>
      <c r="AL126" s="5" t="n">
        <v>1</v>
      </c>
    </row>
    <row r="127" ht="15" customHeight="1" s="12">
      <c r="A127" s="5" t="inlineStr">
        <is>
          <t>retrieving_only</t>
        </is>
      </c>
      <c r="B127" s="5" t="inlineStr">
        <is>
          <t>MQAQHSARAERRRPWRRFSGPLAALGIVLALTAGGLATAATPAFADQVGQAPTADNITGNGSFATTSAAITNQTGFGGGTVYYPTADGTYPVVAIVPGFAATWSQISWLGPRVASWGFVVVGVDTTSVFDSPQQRGDEFLAALNWAANSAPASTRGKVDGTRRGVAGWSMGGGGTLEAMAKDTTLKAGVPLAPWDTTQDWSKIGKPVFIVGAQNDLIAPPASHAIPFYNSLAGPKSYLELAGADHFFPISANPTVSRAVVSWFKRFVSADDRFAPFTCGFAGAAVSAFRTTAC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inlineStr">
        <is>
          <t>TEP103</t>
        </is>
      </c>
      <c r="Z127" s="5" t="inlineStr">
        <is>
          <t>WP_211769896.1</t>
        </is>
      </c>
      <c r="AA127" s="5" t="inlineStr">
        <is>
          <t>Direct</t>
        </is>
      </c>
      <c r="AB127" s="5" t="n">
        <v>467</v>
      </c>
      <c r="AC127" s="5" t="inlineStr">
        <is>
          <t>10.1021/acscatal.5c03460</t>
        </is>
      </c>
      <c r="AD127" s="5" t="inlineStr">
        <is>
          <t>MQAQHSARAERRRPWRRFSGPLAALGIVLALTAGGLATAATPAFADQVGQAPTADNITGNGSFATTSAAITNQTGFGGGTVYYPTADGTYPVVAIVPGFAATWSQISWLGPRVASWGFVVVGVDTTSVFDSPQQRGDEFLAALNWAANSAPASTRGKVDGTRRGVAGWSMGGGGTLEAMAKDTTLKAGVPLAPWDTTQDWSKIGKPVFIVGAQNDLIAPPASHAIPFYNSLAGPKSYLELAGADHFFPISANPTVSRAVVSWFKRFVSADDRFAPFTCGFAGAAVSAFRTTAC</t>
        </is>
      </c>
      <c r="AE127" s="5" t="inlineStr">
        <is>
          <t>Kutzneria sp. CA-103260</t>
        </is>
      </c>
      <c r="AF127" s="5" t="n">
        <v>2802641</v>
      </c>
      <c r="AG127" s="5" t="inlineStr">
        <is>
          <t>seq_in_supp</t>
        </is>
      </c>
      <c r="AH127" s="5" t="inlineStr">
        <is>
          <t>ncbi</t>
        </is>
      </c>
      <c r="AI127" s="5" t="n"/>
      <c r="AJ127" s="5" t="n"/>
      <c r="AK127" s="5" t="n"/>
      <c r="AL127" s="5" t="n">
        <v>1</v>
      </c>
    </row>
    <row r="128" ht="15" customHeight="1" s="12">
      <c r="A128" s="5" t="inlineStr">
        <is>
          <t>retrieving_only</t>
        </is>
      </c>
      <c r="B128" s="5" t="inlineStr">
        <is>
          <t>MPYKETDPQTSGNFRAGRLTPRRTGLLGRRIAVATAALFATAAVVVAVRPALAADNPYQRGPNPTAASVAASRGTFATTQVNVPAGNGFGGGVIYYPTDTSQGRFGAVAIVPGYTATWAAEGAWMGPWLASFGFVVIGIDTNSRNDWDTARGQQLLAALDYLTQRSSVRDRVDASRAAVMGHSMGGGGAMYAALQRPSLKAAVGLAPFSPSQSLNNMRVPTMLLAGQNDGTTTPASILNHYNAIPAASEKAYLELAGADHGFPTSNNPTMMRNVIPWLKIFTDSDTRYTQFLCPLSNWSGIRAYQSSCPLVPSPVPTTSPTASPPSGQRYEAEDAPAVCQGTIDSNHAGFSGSGFCNGTGAVGAYAQFTVNTSAAGTAALGVRFANGASGARSANLVVNGTTVATVSFESTGAWSTWVTKNLTASLNAGSNTIRLSPTVADGLPNIDYLTVGAA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>
        <v>1493</v>
      </c>
      <c r="Z128" s="5" t="inlineStr">
        <is>
          <t>WP_132183354.1</t>
        </is>
      </c>
      <c r="AA128" s="5" t="inlineStr">
        <is>
          <t>Direct</t>
        </is>
      </c>
      <c r="AB128" s="5" t="n">
        <v>318</v>
      </c>
      <c r="AC128" s="5" t="inlineStr">
        <is>
          <t>10.1126/science.adp5637</t>
        </is>
      </c>
      <c r="AD128" s="5" t="inlineStr">
        <is>
          <t>MPYKETDPQTSGNFRAGRLTPRRTGLLGRRIAVATAALFATAAVVVAVRPALAADNPYQRGPNPTAASVAASRGTFATTQVNVPAGNGFGGGVIYYPTDTSQGRFGAVAIVPGYTATWAAEGAWMGPWLASFGFVVIGIDTNSRNDWDTARGQQLLAALDYLTQRSSVRDRVDASRAAVMGHSMGGGGAMYAALQRPSLKAAVGLAPFSPSQSLNNMRVPTMLLAGQNDGTTTPASILNHYNAIPAASEKAYLELAGADHGFPTSNNPTMMRNVIPWLKIFTDSDTRYTQFLCPLSNWSGIRAYQSSCPLVPSPVPTTSPTASPPSGQRYEAEDAPAVCQGTIDSNHAGFSGSGFCNGTGAVGAYAQFTVNTSAAGTAALGVRFANGASGARSANLVVNGTTVATVSFESTGAWSTWVTKNLTASLNAGSNTIRLSPTVADGLPNIDYLTVGAA</t>
        </is>
      </c>
      <c r="AE128" s="5" t="inlineStr">
        <is>
          <t>Micromonospora sp. KC606</t>
        </is>
      </c>
      <c r="AF128" s="5" t="n">
        <v>2530379</v>
      </c>
      <c r="AG128" s="5" t="inlineStr">
        <is>
          <t>supp_unavailable</t>
        </is>
      </c>
      <c r="AH128" s="5" t="inlineStr">
        <is>
          <t>ncbi</t>
        </is>
      </c>
      <c r="AI128" s="5" t="n"/>
      <c r="AJ128" s="5" t="n"/>
      <c r="AK128" s="5" t="n"/>
      <c r="AL128" s="5" t="n">
        <v>1</v>
      </c>
    </row>
    <row r="129" ht="15" customHeight="1" s="12">
      <c r="A129" s="5" t="inlineStr">
        <is>
          <t>retrieving_only</t>
        </is>
      </c>
      <c r="B129" s="5" t="inlineStr">
        <is>
          <t>MPVAHAHHHASGESGAAARPARGPWRRTAVLSAALLGLLASALTTTASAAGTPHPTPPATAARVQAPAPAGSPYQRGPDPTLASVSASRGTFATAQLSVPPGNGFNGGTIYYPTDTGLGTWGAVAIVPGYTARFADEEAWMGHWLASFGFVVIGVETNSRTDYDTARGAQLLAALDYLTQKSPVRDRVDPARLSVVGHSMGGGGALVAAERRPSLKAAVGLAPFKPSGSPTADRVPTMIMGGTADTTVTPSYLDGLAAALPATTESAYLQLTGANHLFATRPNTLEMRILIPWLKTFVDQDSRYTPFLCPALADPSGVSKYRATCPLLPAGTAAGDRSTETAPHSARP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>
        <v>1555</v>
      </c>
      <c r="Z129" s="5" t="inlineStr">
        <is>
          <t>WP_078844206.1</t>
        </is>
      </c>
      <c r="AA129" s="5" t="inlineStr">
        <is>
          <t>Direct</t>
        </is>
      </c>
      <c r="AB129" s="5" t="n">
        <v>307</v>
      </c>
      <c r="AC129" s="5" t="inlineStr">
        <is>
          <t>10.1126/science.adp5637</t>
        </is>
      </c>
      <c r="AD129" s="5" t="inlineStr">
        <is>
          <t>MPVAHAHHHASGESGAAARPARGPWRRTAVLSAALLGLLASALTTTASAAGTPHPTPPATAARVQAPAPAGSPYQRGPDPTLASVSASRGTFATAQLSVPPGNGFNGGTIYYPTDTGLGTWGAVAIVPGYTARFADEEAWMGHWLASFGFVVIGVETNSRTDYDTARGAQLLAALDYLTQKSPVRDRVDPARLSVVGHSMGGGGALVAAERRPSLKAAVGLAPFKPSGSPTADRVPTMIMGGTADTTVTPSYLDGLAAALPATTESAYLQLTGANHLFATRPNTLEMRILIPWLKTFVDQDSRYTPFLCPALADPSGVSKYRATCPLLPAGTAAGDRSTETAPHSARP</t>
        </is>
      </c>
      <c r="AE129" s="5" t="inlineStr">
        <is>
          <t>Streptomyces achromogenes</t>
        </is>
      </c>
      <c r="AF129" s="5" t="n">
        <v>67255</v>
      </c>
      <c r="AG129" s="5" t="inlineStr">
        <is>
          <t>supp_unavailable</t>
        </is>
      </c>
      <c r="AH129" s="5" t="inlineStr">
        <is>
          <t>ncbi</t>
        </is>
      </c>
      <c r="AI129" s="5" t="n"/>
      <c r="AJ129" s="5" t="n"/>
      <c r="AK129" s="5" t="n"/>
      <c r="AL129" s="5" t="n">
        <v>1</v>
      </c>
    </row>
    <row r="130" ht="15" customHeight="1" s="12">
      <c r="A130" s="5" t="inlineStr">
        <is>
          <t>retrieving_only</t>
        </is>
      </c>
      <c r="B130" s="5" t="inlineStr">
        <is>
          <t>MQPQQKARRWFTRSSAVLAVVLALAAGGLAATAAPAYADQVGQAPTAANITGDGSFATASAPITNQTGFGGGTVYYPTAAGTYPVVAVVPGFVSTWSQISWLGPRVASWGFVVVGADTTSGFDSPSQRADELLAALNWAVNSAPAAVRGKVDGTRRGVAGWSMGGGGTLEALAKDTTGTVKAGVPLAPWDIGQDFSKVTKPVFIVGAQNDTIAPPAQHAVPFYNAAAGPKSYLELAGADHFFPTTANPTVSRAMVSWLKRFVSSDDRFTPFTCGFAGAAVSAFRSTAC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inlineStr">
        <is>
          <t>Kubu-P</t>
        </is>
      </c>
      <c r="Z130" s="5" t="inlineStr">
        <is>
          <t>WP_116180173.1</t>
        </is>
      </c>
      <c r="AA130" s="5" t="inlineStr">
        <is>
          <t>Direct</t>
        </is>
      </c>
      <c r="AB130" s="5" t="n">
        <v>276</v>
      </c>
      <c r="AC130" s="5" t="inlineStr">
        <is>
          <t>10.1126/science.adp5637</t>
        </is>
      </c>
      <c r="AD130" s="5" t="inlineStr">
        <is>
          <t>MQPQQKARRWFTRSSAVLAVVLALAAGGLAATAAPAYADQVGQAPTAANITGDGSFATASAPITNQTGFGGGTVYYPTAAGTYPVVAVVPGFVSTWSQISWLGPRVASWGFVVVGADTTSGFDSPSQRADELLAALNWAVNSAPAAVRGKVDGTRRGVAGWSMGGGGTLEALAKDTTGTVKAGVPLAPWDIGQDFSKVTKPVFIVGAQNDTIAPPAQHAVPFYNAAAGPKSYLELAGADHFFPTTANPTVSRAMVSWLKRFVSSDDRFTPFTCGFAGAAVSAFRSTAC</t>
        </is>
      </c>
      <c r="AE130" s="5" t="inlineStr">
        <is>
          <t>Kutzneria buriramensis</t>
        </is>
      </c>
      <c r="AF130" s="5" t="n">
        <v>1045776</v>
      </c>
      <c r="AG130" s="5" t="inlineStr">
        <is>
          <t>supp_unavailable</t>
        </is>
      </c>
      <c r="AH130" s="5" t="inlineStr">
        <is>
          <t>ncbi</t>
        </is>
      </c>
      <c r="AI130" s="5" t="n"/>
      <c r="AJ130" s="5" t="n"/>
      <c r="AK130" s="5" t="n"/>
      <c r="AL130" s="5" t="n">
        <v>1</v>
      </c>
    </row>
    <row r="131" ht="15" customHeight="1" s="12">
      <c r="A131" s="5" t="inlineStr">
        <is>
          <t>retrieving_only</t>
        </is>
      </c>
      <c r="B131" s="5" t="inlineStr">
        <is>
          <t>MPTTIRSRTPVRALARFAVAALAATGGALAAPVAASAASPYERGPAPTSAILEASRGPFATSSINVSSLSVTGFGGGVIYYPTSTAEGTFGAVAISPGYTASWSSLSWLGPRIASHGFVVIGIETNTRLDQPASRGRQLLAALDYLTERSSVRGRIDSSRLAVAGHSMGGGGSLEAAAARPSLQAAVPLAPWNLDKTWSDVRVPTLIIGGETDSVAPVATHSIPFYNSIPASSEKAYLELDGASHFFPQTTNTPTAKQMVAWLKRFVDDDTRYEQFLCPGPSGSAIQEYRNTCPSA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>
        <v>401</v>
      </c>
      <c r="Z131" s="5" t="inlineStr">
        <is>
          <t>WP_104115406.1</t>
        </is>
      </c>
      <c r="AA131" s="5" t="inlineStr">
        <is>
          <t>Direct</t>
        </is>
      </c>
      <c r="AB131" s="5" t="n">
        <v>326</v>
      </c>
      <c r="AC131" s="5" t="inlineStr">
        <is>
          <t>10.1126/science.adp5637</t>
        </is>
      </c>
      <c r="AD131" s="5" t="inlineStr">
        <is>
          <t>MPTTIRSRTPVRALARFAVAALAATGGALAAPVAASAASPYERGPAPTSAILEASRGPFATSSINVSSLSVTGFGGGVIYYPTSTAEGTFGAVAISPGYTASWSSLSWLGPRIASHGFVVIGIETNTRLDQPASRGRQLLAALDYLTERSSVRGRIDSSRLAVAGHSMGGGGSLEAAAARPSLQAAVPLAPWNLDKTWSDVRVPTLIIGGETDSVAPVATHSIPFYNSIPASSEKAYLELDGASHFFPQTTNTPTAKQMVAWLKRFVDDDTRYEQFLCPGPSGSAIQEYRNTCPSA</t>
        </is>
      </c>
      <c r="AE131" s="5" t="inlineStr">
        <is>
          <t>Micromonospora chalcea</t>
        </is>
      </c>
      <c r="AF131" s="5" t="n">
        <v>1874</v>
      </c>
      <c r="AG131" s="5" t="inlineStr">
        <is>
          <t>supp_unavailable</t>
        </is>
      </c>
      <c r="AH131" s="5" t="inlineStr">
        <is>
          <t>ncbi</t>
        </is>
      </c>
      <c r="AI131" s="5" t="n"/>
      <c r="AJ131" s="5" t="n"/>
      <c r="AK131" s="5" t="n"/>
      <c r="AL131" s="5" t="n">
        <v>1</v>
      </c>
    </row>
    <row r="132" ht="15" customHeight="1" s="12">
      <c r="A132" s="5" t="inlineStr">
        <is>
          <t>retrieving_only</t>
        </is>
      </c>
      <c r="B132" s="5" t="inlineStr">
        <is>
          <t>MQSPAQSSAPTVELDSGAIAGSTADGVVSFKGIPYAAPPVGNLRWRAPQPVASWTGVRAATEYGYDCIQLPLEGDAAASGGEMSEDCLVLNVWRPAEIAPGERLPVLVWIHGGGFLNGSAAAPIYDGTAFAQQGLVVVSFNYRLGRLGFFAHPALTAANEGPLGNYGLMDQIAALEWVQRNIAAFGGDPARITLMGQSAGGISVMYHLTAPESQGLFHQAAVLSGGGRTYLLGLRNLRESTDALPSAEQSGLAFGRRFGIRGRGRAALRSLRSLSAEEVNGDLSMAALVEKPADYAGLEHHHHHH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>
        <v>102</v>
      </c>
      <c r="Z132" s="5" t="n"/>
      <c r="AA132" s="5" t="inlineStr">
        <is>
          <t>Direct</t>
        </is>
      </c>
      <c r="AB132" s="5" t="n">
        <v>133</v>
      </c>
      <c r="AC132" s="5" t="inlineStr">
        <is>
          <t>10.1038/s41467-022-35237-x</t>
        </is>
      </c>
      <c r="AD132" s="5" t="inlineStr">
        <is>
          <t>MQSPAQSSAPTVELDSGAIAGSTADGVVSFKGIPYAAPPVGNLRWRAPQPVASWTGVRAATEYGYDCIQLPLEGDAAASGGEMSEDCLVLNVWRPAEIAPGERLPVLVWIHGGGFLNGSAAAPIYDGTAFAQQGLVVVSFNYRLGRLGFFAHPALTAANEGPLGNYGLMDQIAALEWVQRNIAAFGGDPARITLMGQSAGGISVMYHLTAPESQGLFHQAAVLSGGGRTYLLGLRNLRESTDALPSAEQSGLAFGRRFGIRGRGRAALRSLRSLSAEEVNGDLSMAALVEKPADYAGLEHHHHHH</t>
        </is>
      </c>
      <c r="AE132" s="5" t="n"/>
      <c r="AF132" s="5" t="n"/>
      <c r="AG132" s="5" t="n"/>
      <c r="AH132" s="5" t="n"/>
      <c r="AI132" s="5" t="n"/>
      <c r="AJ132" s="5" t="n"/>
      <c r="AK132" s="5" t="n"/>
      <c r="AL132" s="5" t="n">
        <v>1</v>
      </c>
    </row>
    <row r="133" ht="15" customHeight="1" s="12">
      <c r="A133" s="5" t="inlineStr">
        <is>
          <t>retrieving_only</t>
        </is>
      </c>
      <c r="B133" s="5" t="inlineStr">
        <is>
          <t>MQVIQQTVTLQKTQLRLTKEGFVTNYRFPVDFYYPDSPESFPVILISHGFGSVRENFRTLAQHLASHGFLVAVPQHIGSDLQYRQELIKGTLSSALSPVEFLARPTDLSTIIDYLQATQNTGSWQKRANLQQIGVIGDSLGGTTALTIGGAPLDIPRLQTKCTSDNVIVNVALILQCQASFLPPSEYNLADSRVKAVIATHPLISGIFSPDSLAKIQIPVMITAGNFDIITPLEHHHHHH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>
        <v>305</v>
      </c>
      <c r="Z133" s="5" t="n"/>
      <c r="AA133" s="5" t="inlineStr">
        <is>
          <t>Direct</t>
        </is>
      </c>
      <c r="AB133" s="5" t="n">
        <v>139</v>
      </c>
      <c r="AC133" s="5" t="inlineStr">
        <is>
          <t>10.1038/s41467-022-35237-x</t>
        </is>
      </c>
      <c r="AD133" s="5" t="inlineStr">
        <is>
          <t>MQVIQQTVTLQKTQLRLTKEGFVTNYRFPVDFYYPDSPESFPVILISHGFGSVRENFRTLAQHLASHGFLVAVPQHIGSDLQYRQELIKGTLSSALSPVEFLARPTDLSTIIDYLQATQNTGSWQKRANLQQIGVIGDSLGGTTALTIGGAPLDIPRLQTKCTSDNVIVNVALILQCQASFLPPSEYNLADSRVKAVIATHPLISGIFSPDSLAKIQIPVMITAGNFDIITPLEHHHHHH</t>
        </is>
      </c>
      <c r="AE133" s="5" t="n"/>
      <c r="AF133" s="5" t="n"/>
      <c r="AG133" s="5" t="n"/>
      <c r="AH133" s="5" t="n"/>
      <c r="AI133" s="5" t="n"/>
      <c r="AJ133" s="5" t="n"/>
      <c r="AK133" s="5" t="n"/>
      <c r="AL133" s="5" t="n">
        <v>1</v>
      </c>
    </row>
    <row r="134" ht="15" customHeight="1" s="12">
      <c r="A134" s="5" t="inlineStr">
        <is>
          <t>retrieving_only</t>
        </is>
      </c>
      <c r="B134" s="5" t="inlineStr">
        <is>
          <t>MRGHANHPPPSENTRADRMSPRFRGRLFKLAAAGIAAAVGMFTMTVATGSASAADNPYQRGPDPTRTSVTAVNGPFANTSVSVPTGYGFNGGRIYYPTDTSQGTFGAIAISPGYTALFSAELAWMGPWLASHGFVVIGIETNSRNDFDTARGTQLLAALDYLTQQSPVRDRVDPTRLAVAGHSMGGGGALSAATRRSSLKAAVGIAPYSPSSNLANDRVPTMVFAGQADTVVTPSYATGLYNSLPATTESAYLEVAGADHGFMVGRSNPVLVRTMLPFVKMFVDNDARYSQFLCPLLDSSGVVTYRSTCPLLPSTPTTPTATPTNTPTPTASPTVPPTSASQIVGTQSGRCVDVPNASRTNGTRVTLYDCNRQINQTWTYTANKQLQVYGTMCLDAAGTGNGAAVQIYNCHGQTNQQWNVNSNGTISSVQSGRCLDVWSTSNGAQIQLYDCHGQPNQQFRLVSLA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>
        <v>1617</v>
      </c>
      <c r="Z134" s="5" t="inlineStr">
        <is>
          <t>CCH19814.1</t>
        </is>
      </c>
      <c r="AA134" s="5" t="inlineStr">
        <is>
          <t>Direct</t>
        </is>
      </c>
      <c r="AB134" s="5" t="n">
        <v>280</v>
      </c>
      <c r="AC134" s="5" t="inlineStr">
        <is>
          <t>10.1126/science.adp5637</t>
        </is>
      </c>
      <c r="AD134" s="5" t="inlineStr">
        <is>
          <t>MRGHANHPPPSENTRADRMSPRFRGRLFKLAAAGIAAAVGMFTMTVATGSASAADNPYQRGPDPTRTSVTAVNGPFANTSVSVPTGYGFNGGRIYYPTDTSQGTFGAIAISPGYTALFSAELAWMGPWLASHGFVVIGIETNSRNDFDTARGTQLLAALDYLTQQSPVRDRVDPTRLAVAGHSMGGGGALSAATRRSSLKAAVGIAPYSPSSNLANDRVPTMVFAGQADTVVTPSYATGLYNSLPATTESAYLEVAGADHGFMVGRSNPVLVRTMLPFVKMFVDNDARYSQFLCPLLDSSGVVTYRSTCPLLPSTPTTPTATPTNTPTPTASPTVPPTSASQIVGTQSGRCVDVPNASRTNGTRVTLYDCNRQINQTWTYTANKQLQVYGTMCLDAAGTGNGAAVQIYNCHGQTNQQWNVNSNGTISSVQSGRCLDVWSTSNGAQIQLYDCHGQPNQQFRLVSLA</t>
        </is>
      </c>
      <c r="AE134" s="5" t="inlineStr">
        <is>
          <t>Micromonospora lupini</t>
        </is>
      </c>
      <c r="AF134" s="5" t="n">
        <v>285679</v>
      </c>
      <c r="AG134" s="5" t="inlineStr">
        <is>
          <t>supp_unavailable</t>
        </is>
      </c>
      <c r="AH134" s="5" t="inlineStr">
        <is>
          <t>ncbi</t>
        </is>
      </c>
      <c r="AI134" s="5" t="n"/>
      <c r="AJ134" s="5" t="n"/>
      <c r="AK134" s="5" t="n"/>
      <c r="AL134" s="5" t="n">
        <v>1</v>
      </c>
    </row>
    <row r="135" ht="15" customHeight="1" s="12">
      <c r="A135" s="5" t="inlineStr">
        <is>
          <t>retrieving_only</t>
        </is>
      </c>
      <c r="B135" s="5" t="inlineStr">
        <is>
          <t>MRGHAHPPPPGNTSAGRVAPGLRGRLAKLAAAGIAAAVGLFTIAVATGSASAADNPYQRGPDPTRASVASENGPFANTSVAVPTGYGFNGGRIYYPTDTSQGTFGAIAISPGYTALFSVELAWMGPWLASHGFVVIGIETNSRNDFDTARGTQLLAALDYLTQQGPVRDRVDSSRLSVAGHSMGGGGALSAAMRRSSLKAAVGIAPYSPSSNLATDRVPTMVFSGQADTVVTPSYATGLYNSLPSTTESAYLEVAGADHGFMVGRSNPVLIRTMLPFLKIFVDNDARYSQFLCPLLDTSGVVTYRSTCPLLPTPPTSPTATPTTTPATPPTTPPPGTASQLVGAQSGRCVDVPNASRANGTRVQLWDCNRQSNQLWTYTSTKQLRVYGDMCLDAAGTGNGAAVQIYGCHGQANQQWNVNSNGTVSNVQSGRCLDVWSTANGAQIQLYDCHGQTNQRFNLTPLA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>
        <v>1591</v>
      </c>
      <c r="Z135" s="5" t="inlineStr">
        <is>
          <t>WP_091283529.1</t>
        </is>
      </c>
      <c r="AA135" s="5" t="inlineStr">
        <is>
          <t>Direct</t>
        </is>
      </c>
      <c r="AB135" s="5" t="n">
        <v>308</v>
      </c>
      <c r="AC135" s="5" t="inlineStr">
        <is>
          <t>10.1126/science.adp5637</t>
        </is>
      </c>
      <c r="AD135" s="5" t="inlineStr">
        <is>
          <t>MRGHAHPPPPGNTSAGRVAPGLRGRLAKLAAAGIAAAVGLFTIAVATGSASAADNPYQRGPDPTRASVASENGPFANTSVAVPTGYGFNGGRIYYPTDTSQGTFGAIAISPGYTALFSVELAWMGPWLASHGFVVIGIETNSRNDFDTARGTQLLAALDYLTQQGPVRDRVDSSRLSVAGHSMGGGGALSAAMRRSSLKAAVGIAPYSPSSNLATDRVPTMVFSGQADTVVTPSYATGLYNSLPSTTESAYLEVAGADHGFMVGRSNPVLIRTMLPFLKIFVDNDARYSQFLCPLLDTSGVVTYRSTCPLLPTPPTSPTATPTTTPATPPTTPPPGTASQLVGAQSGRCVDVPNASRANGTRVQLWDCNRQSNQLWTYTSTKQLRVYGDMCLDAAGTGNGAAVQIYGCHGQANQQWNVNSNGTVSNVQSGRCLDVWSTANGAQIQLYDCHGQTNQRFNLTPLA</t>
        </is>
      </c>
      <c r="AE135" s="5" t="inlineStr">
        <is>
          <t>Micromonospora haikouensis</t>
        </is>
      </c>
      <c r="AF135" s="5" t="n">
        <v>686309</v>
      </c>
      <c r="AG135" s="5" t="inlineStr">
        <is>
          <t>supp_unavailable</t>
        </is>
      </c>
      <c r="AH135" s="5" t="inlineStr">
        <is>
          <t>ncbi</t>
        </is>
      </c>
      <c r="AI135" s="5" t="n"/>
      <c r="AJ135" s="5" t="n"/>
      <c r="AK135" s="5" t="n"/>
      <c r="AL135" s="5" t="n">
        <v>1</v>
      </c>
    </row>
    <row r="136" ht="15" customHeight="1" s="12">
      <c r="A136" s="5" t="inlineStr">
        <is>
          <t>retrieving_only</t>
        </is>
      </c>
      <c r="B136" s="5" t="inlineStr">
        <is>
          <t>MRGHAHPPPPGNTRSDRVPPGFRGRLAKLAAAGIAAAVGLFTIAVATGSASAADNPYQRGPDPTRASVASENGPFANTSVAVPTGYGFNGGRIYYPTDTSQGTFGAIAISPGYTALFSVELAWMGPWLASHGFVVIGIETNSRNDFDTARGTQLLAALDYLTQQSPVRDRVDASRLAVAGHSMGGGGALSAAMRRSSLKAAVGIAPYSPSSNLATDRVPTMVFSGQADTVVTPSYATGLYNSLPTTTESAYLEVAGADHGFMVGRSNPVLIRTMLPFLKIFIDNDARYSQFLCPLLDSSGVVTYRSTCPLLPTPPTSPTATPTTTPTTPPPTSPPGAASQIVGAQSGRCVDVPNASRANGTRVQLYDCNRQSNQSWTYTSTKQLRVYGDMCLDAAGSGNGAAVQIYGCHSQTNQQWNVNSNGTISSVQSGRCLDVWSTANGAQIQLYDCHGQTNQRFSLTPLA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>
        <v>1594</v>
      </c>
      <c r="Z136" s="5" t="inlineStr">
        <is>
          <t>WP_083302694.1</t>
        </is>
      </c>
      <c r="AA136" s="5" t="inlineStr">
        <is>
          <t>Direct</t>
        </is>
      </c>
      <c r="AB136" s="5" t="n">
        <v>311</v>
      </c>
      <c r="AC136" s="5" t="inlineStr">
        <is>
          <t>10.1126/science.adp5637</t>
        </is>
      </c>
      <c r="AD136" s="5" t="inlineStr">
        <is>
          <t>MRGHAHPPPPGNTRSDRVPPGFRGRLAKLAAAGIAAAVGLFTIAVATGSASAADNPYQRGPDPTRASVASENGPFANTSVAVPTGYGFNGGRIYYPTDTSQGTFGAIAISPGYTALFSVELAWMGPWLASHGFVVIGIETNSRNDFDTARGTQLLAALDYLTQQSPVRDRVDASRLAVAGHSMGGGGALSAAMRRSSLKAAVGIAPYSPSSNLATDRVPTMVFSGQADTVVTPSYATGLYNSLPTTTESAYLEVAGADHGFMVGRSNPVLIRTMLPFLKIFIDNDARYSQFLCPLLDSSGVVTYRSTCPLLPTPPTSPTATPTTTPTTPPPTSPPGAASQIVGAQSGRCVDVPNASRANGTRVQLYDCNRQSNQSWTYTSTKQLRVYGDMCLDAAGSGNGAAVQIYGCHSQTNQQWNVNSNGTISSVQSGRCLDVWSTANGAQIQLYDCHGQTNQRFSLTPLA</t>
        </is>
      </c>
      <c r="AE136" s="5" t="inlineStr">
        <is>
          <t>Micromonospora carbonacea</t>
        </is>
      </c>
      <c r="AF136" s="5" t="n">
        <v>47853</v>
      </c>
      <c r="AG136" s="5" t="inlineStr">
        <is>
          <t>supp_unavailable</t>
        </is>
      </c>
      <c r="AH136" s="5" t="inlineStr">
        <is>
          <t>ncbi</t>
        </is>
      </c>
      <c r="AI136" s="5" t="n"/>
      <c r="AJ136" s="5" t="n"/>
      <c r="AK136" s="5" t="n"/>
      <c r="AL136" s="5" t="n">
        <v>1</v>
      </c>
    </row>
    <row r="137" ht="15" customHeight="1" s="12">
      <c r="A137" s="5" t="inlineStr">
        <is>
          <t>retrieving_only</t>
        </is>
      </c>
      <c r="B137" s="5" t="inlineStr">
        <is>
          <t>MRGHADHPPLSGNAHADRVSPRSRGRLFKLAAAGIAAAVGLFTVTVATGSASAADNPYQRGPDPTRTSVTAENGPFANTSVSVPTGYGFNGGRIYYPTDTSQGTFGAIAISPGYTALFSAELAWMGPWLASHGFVVIGIETNSRNDFDTARGTQLLAALDYLTQQSPIRDRVDPNRLAVAGHSMGGGGALSAASRRSSLRAVVGIAPYSPSSNLANDRVPTMIFSGQADTVVTPSYATGLYNSLPATTKSVYLEVAGADHGFMVGRSNPVMIRTMLPFVKMFIDNDARYSQFLCPLLDSSGVVTYRSTCPLLPSTPTTPTPTPTDPPTVPPGSANEIVGTQSGRCVDVPNASRNNGTRVQLYDCNKQTNQAWTYTATKQLQVYGNMCLDAAGSGNGAAVQIYSCHSQTNQQWNVNSNGTISSVQSGRCLDAWSTTNGAQIQLYDCHGQTNQQFRLVSLAR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>
        <v>1641</v>
      </c>
      <c r="Z137" s="5" t="inlineStr">
        <is>
          <t>WP_089021493.1</t>
        </is>
      </c>
      <c r="AA137" s="5" t="inlineStr">
        <is>
          <t>Direct</t>
        </is>
      </c>
      <c r="AB137" s="5" t="n">
        <v>314</v>
      </c>
      <c r="AC137" s="5" t="inlineStr">
        <is>
          <t>10.1126/science.adp5637</t>
        </is>
      </c>
      <c r="AD137" s="5" t="inlineStr">
        <is>
          <t>MRGHADHPPLSGNAHADRVSPRSRGRLFKLAAAGIAAAVGLFTVTVATGSASAADNPYQRGPDPTRTSVTAENGPFANTSVSVPTGYGFNGGRIYYPTDTSQGTFGAIAISPGYTALFSAELAWMGPWLASHGFVVIGIETNSRNDFDTARGTQLLAALDYLTQQSPIRDRVDPNRLAVAGHSMGGGGALSAASRRSSLRAVVGIAPYSPSSNLANDRVPTMIFSGQADTVVTPSYATGLYNSLPATTKSVYLEVAGADHGFMVGRSNPVMIRTMLPFVKMFIDNDARYSQFLCPLLDSSGVVTYRSTCPLLPSTPTTPTPTPTDPPTVPPGSANEIVGTQSGRCVDVPNASRNNGTRVQLYDCNKQTNQAWTYTATKQLQVYGNMCLDAAGSGNGAAVQIYSCHSQTNQQWNVNSNGTISSVQSGRCLDAWSTTNGAQIQLYDCHGQTNQQFRLVSLAR</t>
        </is>
      </c>
      <c r="AE137" s="5" t="inlineStr">
        <is>
          <t>Micromonospora coriariae</t>
        </is>
      </c>
      <c r="AF137" s="5" t="n">
        <v>285665</v>
      </c>
      <c r="AG137" s="5" t="inlineStr">
        <is>
          <t>supp_unavailable</t>
        </is>
      </c>
      <c r="AH137" s="5" t="inlineStr">
        <is>
          <t>ncbi</t>
        </is>
      </c>
      <c r="AI137" s="5" t="n"/>
      <c r="AJ137" s="5" t="n"/>
      <c r="AK137" s="5" t="n"/>
      <c r="AL137" s="5" t="n">
        <v>1</v>
      </c>
    </row>
    <row r="138" ht="15" customHeight="1" s="12">
      <c r="A138" s="5" t="inlineStr">
        <is>
          <t>retrieving_only</t>
        </is>
      </c>
      <c r="B138" s="5" t="inlineStr">
        <is>
          <t>MRFYQGQLRYSGTVHVHIQLLATLASGLRVSSGTTRARYRASAGHPDNPNDPALNSLSPPLPRKRYCTLSQIQLLRRAAIACTAALGILASTVAAGPASAADNPYQRGPDPTRESVAASRGTFATAETSVGGGNGFGAAKIYYPTVTSQGTFGAIAVSPGYTATWAAEGAWMGHWLASFGFVVIGIDTINRNDREYARGTQLLAALDYLTQRSSVRTRVDPNRLAVMGHSMGGGGTISAALRRPTLKAAIGLAPYSPSQTTTDMRVPTMLLAGQNDGTSTPASILTHYNNIPASTEKAYLELTGAGHGFPTSNNSVMTRKVIPWMKIFIDQDARYPQFLCPLQDWTGIRTYRNSCPLLQRRHQSDLDQAVTRNRT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>
        <v>1475</v>
      </c>
      <c r="Z138" s="5" t="inlineStr">
        <is>
          <t>WP_086668955.1</t>
        </is>
      </c>
      <c r="AA138" s="5" t="inlineStr">
        <is>
          <t>Direct</t>
        </is>
      </c>
      <c r="AB138" s="5" t="n">
        <v>330</v>
      </c>
      <c r="AC138" s="5" t="inlineStr">
        <is>
          <t>10.1126/science.adp5637</t>
        </is>
      </c>
      <c r="AD138" s="5" t="inlineStr">
        <is>
          <t>MRFYQGQLRYSGTVHVHIQLLATLASGLRVSSGTTRARYRASAGHPDNPNDPALNSLSPPLPRKRYCTLSQIQLLRRAAIACTAALGILASTVAAGPASAADNPYQRGPDPTRESVAASRGTFATAETSVGGGNGFGAAKIYYPTVTSQGTFGAIAVSPGYTATWAAEGAWMGHWLASFGFVVIGIDTINRNDREYARGTQLLAALDYLTQRSSVRTRVDPNRLAVMGHSMGGGGTISAALRRPTLKAAIGLAPYSPSQTTTDMRVPTMLLAGQNDGTSTPASILTHYNNIPASTEKAYLELTGAGHGFPTSNNSVMTRKVIPWMKIFIDQDARYPQFLCPLQDWTGIRTYRNSCPLLQRRHQSDLDQAVTRNRT</t>
        </is>
      </c>
      <c r="AE138" s="5" t="inlineStr">
        <is>
          <t>Lentzea kentuckyensis</t>
        </is>
      </c>
      <c r="AF138" s="5" t="n">
        <v>360086</v>
      </c>
      <c r="AG138" s="5" t="inlineStr">
        <is>
          <t>supp_unavailable</t>
        </is>
      </c>
      <c r="AH138" s="5" t="inlineStr">
        <is>
          <t>ncbi</t>
        </is>
      </c>
      <c r="AI138" s="5" t="n"/>
      <c r="AJ138" s="5" t="n"/>
      <c r="AK138" s="5" t="n"/>
      <c r="AL138" s="5" t="n">
        <v>1</v>
      </c>
    </row>
    <row r="139" ht="15" customHeight="1" s="12">
      <c r="A139" s="5" t="inlineStr">
        <is>
          <t>retrieving_only</t>
        </is>
      </c>
      <c r="B139" s="5" t="inlineStr">
        <is>
          <t>MRPRRPRTGFLTGVVAVLLVIAGLAAGPSAASAADNPYERGPAPTAASIAADRGPFATAQVTVPRGNGFGGGVIYYPTDTSQGTFGAIAIAPGFGTAWSYYAWQGPRLASFGFVVIGIETNTLNDYADARATQLLAALDYLVNSSPVRDRVDRNRLAVGGHSMGGGGAILAANQRPSLLTAVGQAPYVPDGSLATIKSPTIIFAGQADGTVTPQYAQNAYNTIPSSVERAYVEIANEGHGFPAGGGGGNSGAFARTMMIWMKLFIDKDTRYAPFLCPSLSNANGISKYMASCPLDPPGGGPTASPTASPTVSPTVSPSGTPPATSAIRGVGSGRCLDVNGASQANGAQAQIWDCNGQNNQKWTTTSAGELRVYGNKCLDVNGGGTADGTSVIIWDCNGQNNQKWRLNTDGTITAVGANKCLDVSGAGTANGTKVQIWTCNGQNNQKWTRT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inlineStr">
        <is>
          <t>ESM038</t>
        </is>
      </c>
      <c r="Z139" s="5" t="inlineStr">
        <is>
          <t>WP_182904095.1</t>
        </is>
      </c>
      <c r="AA139" s="5" t="inlineStr">
        <is>
          <t>Direct</t>
        </is>
      </c>
      <c r="AB139" s="5" t="n">
        <v>414</v>
      </c>
      <c r="AC139" s="5" t="inlineStr">
        <is>
          <t>10.1021/acscatal.5c03460</t>
        </is>
      </c>
      <c r="AD139" s="5" t="inlineStr">
        <is>
          <t>MRPRRPRTGFLTGVVAVLLVIAGLAAGPSAASAADNPYERGPAPTAASIAADRGPFATAQVTVPRGNGFGGGVIYYPTDTSQGTFGAIAIAPGFGTAWSYYAWQGPRLASFGFVVIGIETNTLNDYADARATQLLAALDYLVNSSPVRDRVDRNRLAVGGHSMGGGGAILAANQRPSLLTAVGQAPYVPDGSLATIKSPTIIFAGQADGTVTPQYAQNAYNTIPSSVERAYVEIANEGHGFPAGGGGGNSGAFARTMMIWMKLFIDKDTRYAPFLCPSLSNANGISKYMASCPLDPPGGGPTASPTASPTVSPTVSPSGTPPATSAIRGVGSGRCLDVNGASQANGAQAQIWDCNGQNNQKWTTTSAGELRVYGNKCLDVNGGGTADGTSVIIWDCNGQNNQKWRLNTDGTITAVGANKCLDVSGAGTANGTKVQIWTCNGQNNQKWTRT</t>
        </is>
      </c>
      <c r="AE139" s="5" t="inlineStr">
        <is>
          <t>Microbispora sp. H10830</t>
        </is>
      </c>
      <c r="AF139" s="5" t="n">
        <v>2729109</v>
      </c>
      <c r="AG139" s="5" t="inlineStr">
        <is>
          <t>seq_in_supp</t>
        </is>
      </c>
      <c r="AH139" s="5" t="inlineStr">
        <is>
          <t>ncbi</t>
        </is>
      </c>
      <c r="AI139" s="5" t="n"/>
      <c r="AJ139" s="5" t="n"/>
      <c r="AK139" s="5" t="n"/>
      <c r="AL139" s="5" t="n">
        <v>1</v>
      </c>
    </row>
    <row r="140" ht="15" customHeight="1" s="12">
      <c r="A140" s="5" t="inlineStr">
        <is>
          <t>retrieving_only</t>
        </is>
      </c>
      <c r="B140" s="5" t="inlineStr">
        <is>
          <t>MREPADHLPPAGATPADRASPGLRGRLFKLAAAGIAAAVGLLSITLATGSASAADNPYQRGPDPTPTSVTAVNGPFANTSVAVPTGYGFNGGRIYYPTDTSQGTFGAIAISPGYTALFSAELAWMGPWLASHGFVVIGIETNSRNDFDTARGTQLLAALDYLTQQSPVRDRVDPNRLAVAGHSMGGGGALSAATRRSSLKAAVGIAPYSPSSNLANDRVPTMIFAGQADTVVTPSYASGLYNSLPATTESVYLEVAGADHGFMVGRSNPVMVRTMLPFVKMFIDNDTRYSQFLCPLMDSSGVVTSRSTCPLLPSDPTTPTPTPTTPDPTPTVPPGSASEIVGTQSGRCIDVPNASRTNGTRVQLYNCNRQTNQAWTYTSNKQLQVYGTMCLDAAGSGNGAAVQIYSCHSGTNQQWNVNSNGTISGVQSGRCLDVWSTSNGAQVQLYDCHGQTNQQFRLAPLG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>
        <v>1637</v>
      </c>
      <c r="Z140" s="5" t="inlineStr">
        <is>
          <t>WP_130401777.1</t>
        </is>
      </c>
      <c r="AA140" s="5" t="inlineStr">
        <is>
          <t>Direct</t>
        </is>
      </c>
      <c r="AB140" s="5" t="n">
        <v>301</v>
      </c>
      <c r="AC140" s="5" t="inlineStr">
        <is>
          <t>10.1126/science.adp5637</t>
        </is>
      </c>
      <c r="AD140" s="5" t="inlineStr">
        <is>
          <t>MREPADHLPPAGATPADRASPGLRGRLFKLAAAGIAAAVGLLSITLATGSASAADNPYQRGPDPTPTSVTAVNGPFANTSVAVPTGYGFNGGRIYYPTDTSQGTFGAIAISPGYTALFSAELAWMGPWLASHGFVVIGIETNSRNDFDTARGTQLLAALDYLTQQSPVRDRVDPNRLAVAGHSMGGGGALSAATRRSSLKAAVGIAPYSPSSNLANDRVPTMIFAGQADTVVTPSYASGLYNSLPATTESVYLEVAGADHGFMVGRSNPVMVRTMLPFVKMFIDNDTRYSQFLCPLMDSSGVVTSRSTCPLLPSDPTTPTPTPTTPDPTPTVPPGSASEIVGTQSGRCIDVPNASRTNGTRVQLYNCNRQTNQAWTYTSNKQLQVYGTMCLDAAGSGNGAAVQIYSCHSGTNQQWNVNSNGTISGVQSGRCLDVWSTSNGAQVQLYDCHGQTNQQFRLAPLG</t>
        </is>
      </c>
      <c r="AE140" s="5" t="inlineStr">
        <is>
          <t>Micromonospora violae</t>
        </is>
      </c>
      <c r="AF140" s="5" t="n">
        <v>1278207</v>
      </c>
      <c r="AG140" s="5" t="inlineStr">
        <is>
          <t>supp_unavailable</t>
        </is>
      </c>
      <c r="AH140" s="5" t="inlineStr">
        <is>
          <t>ncbi</t>
        </is>
      </c>
      <c r="AI140" s="5" t="n"/>
      <c r="AJ140" s="5" t="n"/>
      <c r="AK140" s="5" t="n"/>
      <c r="AL140" s="5" t="n">
        <v>1</v>
      </c>
    </row>
    <row r="141" ht="15" customHeight="1" s="12">
      <c r="A141" s="5" t="inlineStr">
        <is>
          <t>retrieving_only</t>
        </is>
      </c>
      <c r="B141" s="5" t="inlineStr">
        <is>
          <t>MQTVTSMLKDLDAVITQVSEKFPQIDNKRVCLIGHSQGAYVSFLHATKDERIKCLVSWMGRLSDLKEFWSKLWFDEIERKGYIYEWDYKITKKYVRDSLKYNLSKAAWRIKVPTLLIYGELDDIVPPSEGMKFYRNIKSPKKIVIVKDLNHTFSGEKAKKSVIRITLKWLSKWLKRLDLEHHHHHH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>
        <v>307</v>
      </c>
      <c r="Z141" s="5" t="n"/>
      <c r="AA141" s="5" t="inlineStr">
        <is>
          <t>Direct</t>
        </is>
      </c>
      <c r="AB141" s="5" t="n">
        <v>140</v>
      </c>
      <c r="AC141" s="5" t="inlineStr">
        <is>
          <t>10.1038/s41467-022-35237-x</t>
        </is>
      </c>
      <c r="AD141" s="5" t="inlineStr">
        <is>
          <t>MQTVTSMLKDLDAVITQVSEKFPQIDNKRVCLIGHSQGAYVSFLHATKDERIKCLVSWMGRLSDLKEFWSKLWFDEIERKGYIYEWDYKITKKYVRDSLKYNLSKAAWRIKVPTLLIYGELDDIVPPSEGMKFYRNIKSPKKIVIVKDLNHTFSGEKAKKSVIRITLKWLSKWLKRLDLEHHHHHH</t>
        </is>
      </c>
      <c r="AE141" s="5" t="n"/>
      <c r="AF141" s="5" t="n"/>
      <c r="AG141" s="5" t="n"/>
      <c r="AH141" s="5" t="n"/>
      <c r="AI141" s="5" t="n"/>
      <c r="AJ141" s="5" t="n"/>
      <c r="AK141" s="5" t="n"/>
      <c r="AL141" s="5" t="n">
        <v>1</v>
      </c>
    </row>
    <row r="142" ht="15" customHeight="1" s="12">
      <c r="A142" s="5" t="inlineStr">
        <is>
          <t>retrieving_only</t>
        </is>
      </c>
      <c r="B142" s="5" t="inlineStr">
        <is>
          <t>MRENGHHPPPSGTTNADRVPARFRGRVLKLAAVGIAAVVGMFTITVATGSASAADNPYQRGPDPTQSSVTAVNGPFANTSVSVPTGYGFNGGRIYYPTDTSQGTFGAIAISPGYTALFSAELAWMGPWLASHGFVVIGIETNSRNDFDTARGTQLLAALDYLTQQSPVRDRVDPTRLAVAGHSMGGGGALSAAMRRPSLKAVVGIAPYSPSSNLANDRVPTMILSGQADTVVTPSYATGLYNSLPSTTESVYLEVAGADHGFMVGRPNPVMVRTMLPFVKMFVDNDARYSQFLCPLLDSSGVVTYRSTCPLLPTTPTTPTPTTPGPTTPGPTPTVSPSVPPTSAGEIVGTQSGRCIDVPNASRNNGTRVQLYDCNRQTNQTWTYTSGKQLQVYGNMCLDAAGTGNGAAVQIYNCHSQTNQQWNINSNGTISSVQSGRCLDAWSTANGAQIQLYDCHGQTNQQFRLVARA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>
        <v>1534</v>
      </c>
      <c r="Z142" s="5" t="inlineStr">
        <is>
          <t>WP_082377728.1</t>
        </is>
      </c>
      <c r="AA142" s="5" t="inlineStr">
        <is>
          <t>Direct</t>
        </is>
      </c>
      <c r="AB142" s="5" t="n">
        <v>281</v>
      </c>
      <c r="AC142" s="5" t="inlineStr">
        <is>
          <t>10.1126/science.adp5637</t>
        </is>
      </c>
      <c r="AD142" s="5" t="inlineStr">
        <is>
          <t>MRENGHHPPPSGTTNADRVPARFRGRVLKLAAVGIAAVVGMFTITVATGSASAADNPYQRGPDPTQSSVTAVNGPFANTSVSVPTGYGFNGGRIYYPTDTSQGTFGAIAISPGYTALFSAELAWMGPWLASHGFVVIGIETNSRNDFDTARGTQLLAALDYLTQQSPVRDRVDPTRLAVAGHSMGGGGALSAAMRRPSLKAVVGIAPYSPSSNLANDRVPTMILSGQADTVVTPSYATGLYNSLPSTTESVYLEVAGADHGFMVGRPNPVMVRTMLPFVKMFVDNDARYSQFLCPLLDSSGVVTYRSTCPLLPTTPTTPTPTTPGPTTPGPTPTVSPSVPPTSAGEIVGTQSGRCIDVPNASRNNGTRVQLYDCNRQTNQTWTYTSGKQLQVYGNMCLDAAGTGNGAAVQIYNCHSQTNQQWNINSNGTISSVQSGRCLDAWSTANGAQIQLYDCHGQTNQQFRLVARA</t>
        </is>
      </c>
      <c r="AE142" s="5" t="inlineStr">
        <is>
          <t>Micromonospora sp. NRRL B-16802</t>
        </is>
      </c>
      <c r="AF142" s="5" t="n">
        <v>1415541</v>
      </c>
      <c r="AG142" s="5" t="inlineStr">
        <is>
          <t>supp_unavailable</t>
        </is>
      </c>
      <c r="AH142" s="5" t="inlineStr">
        <is>
          <t>ncbi</t>
        </is>
      </c>
      <c r="AI142" s="5" t="n"/>
      <c r="AJ142" s="5" t="n"/>
      <c r="AK142" s="5" t="n"/>
      <c r="AL142" s="5" t="n">
        <v>1</v>
      </c>
    </row>
    <row r="143" ht="15" customHeight="1" s="12">
      <c r="A143" s="5" t="inlineStr">
        <is>
          <t>retrieving_only</t>
        </is>
      </c>
      <c r="B143" s="5" t="inlineStr">
        <is>
          <t>MREHPHHPPPSGSTRADRSSPGIRRRLFKLATAGIAAAVGLFTVTVATGSASAADNPYQRGPDPTRTSVATERGPFANTSVSVPSGYGFNGGRIYYPTDTSQGTFGAIAISPGYTALFSAELAWMGPWLASHGFVVIGIETNSRNDFDTARGTQLLAALDYLTQQSPVRDRIDPNRLAVSGHSMGGGGALSAAMRRSSLKAVVGIAPYSPSSNLANDRVPTMIFSGQADTVVTPSYAMGLYNSIPAGTKSAYLEVAGGDHGFMVGRSNPVLIRTMLPFLKIFIDNDARYSQFLCPLLDNSGVVTYRSTCPFLPTTPTTPPPTG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inlineStr">
        <is>
          <t>ESM065</t>
        </is>
      </c>
      <c r="Z143" s="5" t="inlineStr">
        <is>
          <t>WP_204038550.1</t>
        </is>
      </c>
      <c r="AA143" s="5" t="inlineStr">
        <is>
          <t>Direct</t>
        </is>
      </c>
      <c r="AB143" s="5" t="n">
        <v>425</v>
      </c>
      <c r="AC143" s="5" t="inlineStr">
        <is>
          <t>10.1021/acscatal.5c03460</t>
        </is>
      </c>
      <c r="AD143" s="5" t="inlineStr">
        <is>
          <t>MREHPHHPPPSGSTRADRSSPGIRRRLFKLATAGIAAAVGLFTVTVATGSASAADNPYQRGPDPTRTSVATERGPFANTSVSVPSGYGFNGGRIYYPTDTSQGTFGAIAISPGYTALFSAELAWMGPWLASHGFVVIGIETNSRNDFDTARGTQLLAALDYLTQQSPVRDRIDPNRLAVSGHSMGGGGALSAAMRRSSLKAVVGIAPYSPSSNLANDRVPTMIFSGQADTVVTPSYAMGLYNSIPAGTKSAYLEVAGGDHGFMVGRSNPVLIRTMLPFLKIFIDNDARYSQFLCPLLDNSGVVTYRSTCPFLPTTPTTPPPTG</t>
        </is>
      </c>
      <c r="AE143" s="5" t="inlineStr">
        <is>
          <t>Micromonospora qiuiae</t>
        </is>
      </c>
      <c r="AF143" s="5" t="n">
        <v>502268</v>
      </c>
      <c r="AG143" s="5" t="inlineStr">
        <is>
          <t>seq_in_supp</t>
        </is>
      </c>
      <c r="AH143" s="5" t="inlineStr">
        <is>
          <t>ncbi</t>
        </is>
      </c>
      <c r="AI143" s="5" t="n"/>
      <c r="AJ143" s="5" t="n"/>
      <c r="AK143" s="5" t="n"/>
      <c r="AL143" s="5" t="n">
        <v>1</v>
      </c>
    </row>
    <row r="144" ht="15" customHeight="1" s="12">
      <c r="A144" s="5" t="inlineStr">
        <is>
          <t>retrieving_only</t>
        </is>
      </c>
      <c r="B144" s="5" t="inlineStr">
        <is>
          <t>MRQHAIDPTPSEGVGADRRSPGLRSWLLSLAAAGIALTLGLFTMAVTTGSASAADNPYQRGPDPTRASVASVNGPFATAQTSVPGGYGFAGGMIYYPTDTSQGTFGGIAISPGYTALFSAELAWMGPWLASHGFVVIGIETNSRNDFDEARGTQLLAALDYLTQQSPVRTRVDPNRLAVSGHSMGGGGALNAAIRRPSLKATVGIAPFLPSSNLANDRVPTMVFAGQADTVVSPSSVLNQYNSLPATTESVYLEVAGADHGFMVGRPNNVMIRTMLPFLKMFVDNDSRYSQFLCPLLDSSGVVTYRSTCPLLPPAPTTPPATGNPTNPPTTPPVTPTVSPTVPPGSASEIRGAQSGRCVDVPNASRSNGTRVQLYDCNRQTNQSWTYTSDRQLRVYGDMCLDAAGSGNGAAVQIYGCHGQANQQWNVNSNGTISGVQSGRCLDAWSTANGAQIQLYDCHGQTNQRFSLTPVG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>
        <v>1538</v>
      </c>
      <c r="Z144" s="5" t="inlineStr">
        <is>
          <t>WP_130464304.1</t>
        </is>
      </c>
      <c r="AA144" s="5" t="inlineStr">
        <is>
          <t>Direct</t>
        </is>
      </c>
      <c r="AB144" s="5" t="n">
        <v>277</v>
      </c>
      <c r="AC144" s="5" t="inlineStr">
        <is>
          <t>10.1126/science.adp5637</t>
        </is>
      </c>
      <c r="AD144" s="5" t="inlineStr">
        <is>
          <t>MRQHAIDPTPSEGVGADRRSPGLRSWLLSLAAAGIALTLGLFTMAVTTGSASAADNPYQRGPDPTRASVASVNGPFATAQTSVPGGYGFAGGMIYYPTDTSQGTFGGIAISPGYTALFSAELAWMGPWLASHGFVVIGIETNSRNDFDEARGTQLLAALDYLTQQSPVRTRVDPNRLAVSGHSMGGGGALNAAIRRPSLKATVGIAPFLPSSNLANDRVPTMVFAGQADTVVSPSSVLNQYNSLPATTESVYLEVAGADHGFMVGRPNNVMIRTMLPFLKMFVDNDSRYSQFLCPLLDSSGVVTYRSTCPLLPPAPTTPPATGNPTNPPTTPPVTPTVSPTVPPGSASEIRGAQSGRCVDVPNASRSNGTRVQLYDCNRQTNQSWTYTSDRQLRVYGDMCLDAAGSGNGAAVQIYGCHGQANQQWNVNSNGTISGVQSGRCLDAWSTANGAQIQLYDCHGQTNQRFSLTPVG</t>
        </is>
      </c>
      <c r="AE144" s="5" t="inlineStr">
        <is>
          <t>Plantactinospora sp. B6F1</t>
        </is>
      </c>
      <c r="AF144" s="5" t="n">
        <v>3158971</v>
      </c>
      <c r="AG144" s="5" t="inlineStr">
        <is>
          <t>supp_unavailable</t>
        </is>
      </c>
      <c r="AH144" s="5" t="inlineStr">
        <is>
          <t>ncbi</t>
        </is>
      </c>
      <c r="AI144" s="5" t="n"/>
      <c r="AJ144" s="5" t="n"/>
      <c r="AK144" s="5" t="n"/>
      <c r="AL144" s="5" t="n">
        <v>1</v>
      </c>
    </row>
    <row r="145" ht="15" customHeight="1" s="12">
      <c r="A145" s="5" t="inlineStr">
        <is>
          <t>retrieving_only</t>
        </is>
      </c>
      <c r="B145" s="5" t="inlineStr">
        <is>
          <t>MRGHAPPPPPSGITDAHRASPGVRGRLFKLATAGLAAAVGLLTITMATGSASAADNPYQRGPDPTRNSVAAENGPFANTSVSVPSGNGFNGGRIYYPTDTSQGTFGAIAISPGYTALFSAELAWMGPWLASHGFVVIGIETNSRNDFDTARGTQLLAALDYLTQQSTVRNRVDPNRLAVAGHSMGGGGALSAAMRRPSLKAVAGITPYSPSSNLANDRVPTMIISGQADTVVTPSYALGLYNSIPATTESVYLEVAGGDHGFMVGRSNPVLIRTMLPFLKTFVDNDARYTQFLCPLVDNSGVVTYRNTCPLLPPPTGTPTPTPTTPGPTTPPPTTPPPGSASEIVGTQSGRCVDVPNSSRTNGTRVQLYDCNRQTNQTWTYNTSTKQLRVYGDMCLDAAGTGNSAAVQIYACHSQTNQQWNINTNG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>
        <v>1519</v>
      </c>
      <c r="Z145" s="5" t="inlineStr">
        <is>
          <t>WP_131056699.1</t>
        </is>
      </c>
      <c r="AA145" s="5" t="inlineStr">
        <is>
          <t>Direct</t>
        </is>
      </c>
      <c r="AB145" s="5" t="n">
        <v>297</v>
      </c>
      <c r="AC145" s="5" t="inlineStr">
        <is>
          <t>10.1126/science.adp5637</t>
        </is>
      </c>
      <c r="AD145" s="5" t="inlineStr">
        <is>
          <t>MRGHAPPPPPSGITDAHRASPGVRGRLFKLATAGLAAAVGLLTITMATGSASAADNPYQRGPDPTRNSVAAENGPFANTSVSVPSGNGFNGGRIYYPTDTSQGTFGAIAISPGYTALFSAELAWMGPWLASHGFVVIGIETNSRNDFDTARGTQLLAALDYLTQQSTVRNRVDPNRLAVAGHSMGGGGALSAAMRRPSLKAVAGITPYSPSSNLANDRVPTMIISGQADTVVTPSYALGLYNSIPATTESVYLEVAGGDHGFMVGRSNPVLIRTMLPFLKTFVDNDARYTQFLCPLVDNSGVVTYRNTCPLLPPPTGTPTPTPTTPGPTTPPPTTPPPGSASEIVGTQSGRCVDVPNSSRTNGTRVQLYDCNRQTNQTWTYNTSTKQLRVYGDMCLDAAGTGNSAAVQIYACHSQTNQQWNINTNG</t>
        </is>
      </c>
      <c r="AE145" s="5" t="inlineStr">
        <is>
          <t>Verrucosispora sp. SN26_14.1</t>
        </is>
      </c>
      <c r="AF145" s="5" t="n">
        <v>2527879</v>
      </c>
      <c r="AG145" s="5" t="inlineStr">
        <is>
          <t>supp_unavailable</t>
        </is>
      </c>
      <c r="AH145" s="5" t="inlineStr">
        <is>
          <t>ncbi</t>
        </is>
      </c>
      <c r="AI145" s="5" t="n"/>
      <c r="AJ145" s="5" t="n"/>
      <c r="AK145" s="5" t="n"/>
      <c r="AL145" s="5" t="n">
        <v>1</v>
      </c>
    </row>
    <row r="146" ht="15" customHeight="1" s="12">
      <c r="A146" s="5" t="inlineStr">
        <is>
          <t>retrieving_only</t>
        </is>
      </c>
      <c r="B146" s="5" t="inlineStr">
        <is>
          <t>MRAVATTALALTLTAGTGVLAAPAAGAAPAAPAAAAAAAVSPYQHGPDPTEDLIEAPRGPYATAQISVSRLSVTGFGGGVIYYPTTTSEGRFGAIAISPGFTATWSSLDWLGPRLASHGFVVFGIETNTLLDQPDSRGAQLLAALDYLTQRSSVRDRVDASRLAVAGHSMGGGGTLEAAKSRPSLKAAIPIAPWNLDKTWPEVRTPTLIIGGQLDTIAPVATHSIPFYLSLSNAPEKGYLELLGASHFFPQTSNTTMAKYMISWMKRFIDDDTRYSQFLCPAPNDFTLSDSRVTCPV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>
        <v>917</v>
      </c>
      <c r="Z146" s="5" t="inlineStr">
        <is>
          <t>WP_083950838.1</t>
        </is>
      </c>
      <c r="AA146" s="5" t="inlineStr">
        <is>
          <t>Direct</t>
        </is>
      </c>
      <c r="AB146" s="5" t="n">
        <v>295</v>
      </c>
      <c r="AC146" s="5" t="inlineStr">
        <is>
          <t>10.1126/science.adp5637</t>
        </is>
      </c>
      <c r="AD146" s="5" t="inlineStr">
        <is>
          <t>MRAVATTALALTLTAGTGVLAAPAAGAAPAAPAAAAAAAVSPYQHGPDPTEDLIEAPRGPYATAQISVSRLSVTGFGGGVIYYPTTTSEGRFGAIAISPGFTATWSSLDWLGPRLASHGFVVFGIETNTLLDQPDSRGAQLLAALDYLTQRSSVRDRVDASRLAVAGHSMGGGGTLEAAKSRPSLKAAIPIAPWNLDKTWPEVRTPTLIIGGQLDTIAPVATHSIPFYLSLSNAPEKGYLELLGASHFFPQTSNTTMAKYMISWMKRFIDDDTRYSQFLCPAPNDFTLSDSRVTCPV</t>
        </is>
      </c>
      <c r="AE146" s="5" t="inlineStr">
        <is>
          <t>Actinomadura bacterium</t>
        </is>
      </c>
      <c r="AF146" s="5" t="n">
        <v>1988</v>
      </c>
      <c r="AG146" s="5" t="inlineStr">
        <is>
          <t>supp_unavailable</t>
        </is>
      </c>
      <c r="AH146" s="5" t="inlineStr">
        <is>
          <t>ncbi</t>
        </is>
      </c>
      <c r="AI146" s="5" t="n"/>
      <c r="AJ146" s="5" t="n"/>
      <c r="AK146" s="5" t="n"/>
      <c r="AL146" s="5" t="n">
        <v>1</v>
      </c>
    </row>
    <row r="147" ht="15" customHeight="1" s="12">
      <c r="A147" s="5" t="inlineStr">
        <is>
          <t>retrieving_only</t>
        </is>
      </c>
      <c r="B147" s="5" t="inlineStr">
        <is>
          <t>MRARIAALVAVPFLGAGAFAVSSVAAGDPPAVRTVPAAAAAPVDWSKTGPHQVKVDKADAHTIYRPSDLGSGGVKNPVVIWGNGTGATPAAYDGLLRHWASHGFVVAAANTKQANNGNAMRAGLDLVTKWNTTSSSPYYGKVDVSRVASSGHSQGGAGAMNAAVDTRVDAVLPIQPGPLAAPRKFKQPTFYMAGQNDRVVWPSWVRNFYNKSGHLPAVFGVVRGATHVAPAGDGGAFRGPTTAWLSFTLRGDASARAQFAGASCGYCGASSPFSNWLRNTRFTSQNG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inlineStr">
        <is>
          <t>APET-24</t>
        </is>
      </c>
      <c r="Z147" s="5" t="inlineStr">
        <is>
          <t>WP_018657411.1</t>
        </is>
      </c>
      <c r="AA147" s="5" t="inlineStr">
        <is>
          <t>Direct</t>
        </is>
      </c>
      <c r="AB147" s="5" t="n">
        <v>263</v>
      </c>
      <c r="AC147" s="5" t="inlineStr">
        <is>
          <t>10.1038/s41467-025-61599-z</t>
        </is>
      </c>
      <c r="AD147" s="5" t="inlineStr">
        <is>
          <t>MRARIAALVAVPFLGAGAFAVSSVAAGDPPAVRTVPAAAAAPVDWSKTGPHQVKVDKADAHTIYRPSDLGSGGVKNPVVIWGNGTGATPAAYDGLLRHWASHGFVVAAANTKQANNGNAMRAGLDLVTKWNTTSSSPYYGKVDVSRVASSGHSQGGAGAMNAAVDTRVDAVLPIQPGPLAAPRKFKQPTFYMAGQNDRVVWPSWVRNFYNKSGHLPAVFGVVRGATHVAPAGDGGAFRGPTTAWLSFTLRGDASARAQFAGASCGYCGASSPFSNWLRNTRFTSQNG</t>
        </is>
      </c>
      <c r="AE147" s="5" t="inlineStr">
        <is>
          <t>Actinomadura flavalba</t>
        </is>
      </c>
      <c r="AF147" s="5" t="n">
        <v>1120938</v>
      </c>
      <c r="AG147" s="5" t="inlineStr">
        <is>
          <t>supp_unavailable</t>
        </is>
      </c>
      <c r="AH147" s="5" t="inlineStr">
        <is>
          <t>ncbi</t>
        </is>
      </c>
      <c r="AI147" s="5" t="n"/>
      <c r="AJ147" s="5" t="n"/>
      <c r="AK147" s="5" t="n"/>
      <c r="AL147" s="5" t="n">
        <v>1</v>
      </c>
    </row>
    <row r="148" ht="15" customHeight="1" s="12">
      <c r="A148" s="5" t="inlineStr">
        <is>
          <t>retrieving_only</t>
        </is>
      </c>
      <c r="B148" s="5" t="inlineStr">
        <is>
          <t>MRAAATGLALALAVTAGATAVATPALADQIGQAPTASNITGDGSFAVTSSAVSGQTGFGGGTVYYPTQTGTYPVVAIMPGFLELWDAIKWMGPRLASWGYVVVGVNPNSVFDLPDSRGSQLLAALNWAVGSAPSAVQSRADGTRRGVVGYSMGGGGTLEALSRDTSGKVLAGVAFSPWDTNQNWSTVRQPEFIVGAQNDTVAPPAQHAIPFYNSLAGPKTYVELAGADHLWPTSDNPTGSRAMVSWLKRWLNSDSRFTPFTCGFTGSAISASMSNAC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>
        <v>1638</v>
      </c>
      <c r="Z148" s="5" t="inlineStr">
        <is>
          <t>WP_051808300.1</t>
        </is>
      </c>
      <c r="AA148" s="5" t="inlineStr">
        <is>
          <t>Direct</t>
        </is>
      </c>
      <c r="AB148" s="5" t="n">
        <v>323</v>
      </c>
      <c r="AC148" s="5" t="inlineStr">
        <is>
          <t>10.1126/science.adp5637</t>
        </is>
      </c>
      <c r="AD148" s="5" t="inlineStr">
        <is>
          <t>MRAAATGLALALAVTAGATAVATPALADQIGQAPTASNITGDGSFAVTSSAVSGQTGFGGGTVYYPTQTGTYPVVAIMPGFLELWDAIKWMGPRLASWGYVVVGVNPNSVFDLPDSRGSQLLAALNWAVGSAPSAVQSRADGTRRGVVGYSMGGGGTLEALSRDTSGKVLAGVAFSPWDTNQNWSTVRQPEFIVGAQNDTVAPPAQHAIPFYNSLAGPKTYVELAGADHLWPTSDNPTGSRAMVSWLKRWLNSDSRFTPFTCGFTGSAISASMSNAC</t>
        </is>
      </c>
      <c r="AE148" s="5" t="inlineStr">
        <is>
          <t>Actinoplanes subtropicus</t>
        </is>
      </c>
      <c r="AF148" s="5" t="n">
        <v>543632</v>
      </c>
      <c r="AG148" s="5" t="inlineStr">
        <is>
          <t>supp_unavailable</t>
        </is>
      </c>
      <c r="AH148" s="5" t="inlineStr">
        <is>
          <t>ncbi</t>
        </is>
      </c>
      <c r="AI148" s="5" t="n"/>
      <c r="AJ148" s="5" t="n"/>
      <c r="AK148" s="5" t="n"/>
      <c r="AL148" s="5" t="n">
        <v>1</v>
      </c>
    </row>
    <row r="149" ht="15" customHeight="1" s="12">
      <c r="A149" s="5" t="inlineStr">
        <is>
          <t>retrieving_only</t>
        </is>
      </c>
      <c r="B149" s="5" t="inlineStr">
        <is>
          <t>MRRDTRHHPPSVGTEVGRGSPGPGRRLITLAATGAALTLGTVTALVATGSASMADNPYQRGPDPTPALVASVNGPFATASVSVPAGYGFGGGMIYYPTDTSQGTFGGIAISPGYTALFSAELAWMGPWLASHGFVVIGIETNNRNDFDEARGTQLLAALDYLTQQSPVRNRVDPNRLAVAGHSMGGGGALNAAIRRPSLKAAVGLAPFSPSSNLANDRVPTMVFSGQQDTVVTPSYVTGLYNSLPSTTQSAYLEIAGGDHGFPVGRPNQVMIRTMLPFVKIFVDYDTRYSPFLCPLSDTSGVVTYRSTCPLTPPGLPTTPPTTPPTTVPTSPPTGGPTTPPTTPSQPGGACTATYRTVNSWPGGFQGEVTVTAGNSAINGWTVRWTLDSGQAITQVWNGEVSTSGSTVSVRNAPYNGSLPPSGSTTFGFLSSGSPSSPSLTCTSP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inlineStr">
        <is>
          <t>DP059</t>
        </is>
      </c>
      <c r="Z149" s="5" t="inlineStr">
        <is>
          <t>MGYP001121581011</t>
        </is>
      </c>
      <c r="AA149" s="5" t="inlineStr">
        <is>
          <t>Direct</t>
        </is>
      </c>
      <c r="AB149" s="5" t="n">
        <v>395</v>
      </c>
      <c r="AC149" s="5" t="inlineStr">
        <is>
          <t>10.1021/acscatal.5c03460</t>
        </is>
      </c>
      <c r="AD149" s="5" t="inlineStr">
        <is>
          <t>MRRDTRHHPPSVGTEVGRGSPGPGRRLITLAATGAALTLGTVTALVATGSASMADNPYQRGPDPTPALVASVNGPFATASVSVPAGYGFGGGMIYYPTDTSQGTFGGIAISPGYTALFSAELAWMGPWLASHGFVVIGIETNNRNDFDEARGTQLLAALDYLTQQSPVRNRVDPNRLAVAGHSMGGGGALNAAIRRPSLKAAVGLAPFSPSSNLANDRVPTMVFSGQQDTVVTPSYVTGLYNSLPSTTQSAYLEIAGGDHGFPVGRPNQVMIRTMLPFVKIFVDYDTRYSPFLCPLSDTSGVVTYRSTCPLTPPGLPTTPPTTPPTTVPTSPPTGGPTTPPTTPSQPGGACTATYRTVNSWPGGFQGEVTVTAGNSAINGWTVRWTLDSGQAITQVWNGEVSTSGSTVSVRNAPYNGSLPPSGSTTFGFLSSGSPSSPSLTCTSP</t>
        </is>
      </c>
      <c r="AE149" s="5" t="inlineStr">
        <is>
          <t>Compost metagenome</t>
        </is>
      </c>
      <c r="AF149" s="5" t="n"/>
      <c r="AG149" s="5" t="inlineStr">
        <is>
          <t>acc_in_supp</t>
        </is>
      </c>
      <c r="AH149" s="5" t="inlineStr">
        <is>
          <t>mgnify</t>
        </is>
      </c>
      <c r="AI149" s="5" t="n"/>
      <c r="AJ149" s="5" t="n"/>
      <c r="AK149" s="5" t="n"/>
      <c r="AL149" s="5" t="n">
        <v>1</v>
      </c>
    </row>
    <row r="150" ht="15" customHeight="1" s="12">
      <c r="A150" s="5" t="inlineStr">
        <is>
          <t>retrieving_only</t>
        </is>
      </c>
      <c r="B150" s="5" t="inlineStr">
        <is>
          <t>MREIELTDIGGFRIGNAEWEEAGTGCTVVLAERGARAAVSVRGGAPASRENALLNPLAANDMIHAVLLSGGSAFGLNAASGVMQYLEEKGIGFPTGGGPVPIVCASCLYDLEFAEKGKRPDPALAYEACLHAGNFREGNHGAGTGATVGKILGMEHAMKAGIGCAAFQAGDLQVGALTAVNAAGNIVNPENGAFVAGIHEADGTMIDAEEALCALSAGSLRFHENTTLTVLLTNGKFSKTELAKLADMANDGYARAIRPVHTMVDGDSIYAMTNDTVKADLNIAGVLAAKAVSRAIVSAAEHAETSRGILSCSDFRRHA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inlineStr">
        <is>
          <t>Nyl73</t>
        </is>
      </c>
      <c r="Z150" s="5" t="inlineStr">
        <is>
          <t>MSS57807</t>
        </is>
      </c>
      <c r="AA150" s="5" t="inlineStr">
        <is>
          <t>Direct</t>
        </is>
      </c>
      <c r="AB150" s="5" t="n">
        <v>373</v>
      </c>
      <c r="AC150" s="5" t="inlineStr">
        <is>
          <t>10.1016/j.checat.2025.101418</t>
        </is>
      </c>
      <c r="AD150" s="5" t="inlineStr">
        <is>
          <t>MREIELTDIGGFRIGNAEWEEAGTGCTVVLAERGARAAVSVRGGAPASRENALLNPLAANDMIHAVLLSGGSAFGLNAASGVMQYLEEKGIGFPTGGGPVPIVCASCLYDLEFAEKGKRPDPALAYEACLHAGNFREGNHGAGTGATVGKILGMEHAMKAGIGCAAFQAGDLQVGALTAVNAAGNIVNPENGAFVAGIHEADGTMIDAEEALCALSAGSLRFHENTTLTVLLTNGKFSKTELAKLADMANDGYARAIRPVHTMVDGDSIYAMTNDTVKADLNIAGVLAAKAVSRAIVSAAEHAETSRGILSCSDFRRHA</t>
        </is>
      </c>
      <c r="AE150" s="5" t="inlineStr">
        <is>
          <t>Stecheria intestinalis</t>
        </is>
      </c>
      <c r="AF150" s="5" t="n">
        <v>2606630</v>
      </c>
      <c r="AG150" s="5" t="inlineStr">
        <is>
          <t>supp_unavailable</t>
        </is>
      </c>
      <c r="AH150" s="5" t="inlineStr">
        <is>
          <t>ncbi</t>
        </is>
      </c>
      <c r="AI150" s="5" t="n"/>
      <c r="AJ150" s="5" t="n"/>
      <c r="AK150" s="5" t="n"/>
      <c r="AL150" s="5" t="n">
        <v>1</v>
      </c>
    </row>
    <row r="151" ht="15" customHeight="1" s="12">
      <c r="A151" s="5" t="inlineStr">
        <is>
          <t>retrieving_only</t>
        </is>
      </c>
      <c r="B151" s="5" t="inlineStr">
        <is>
          <t>MRRSPRNLARLVTALALVAGAATATASAQAADNPYERGPDPTESSIEASRGPFAVSQTTVSSLVVSGFGGGTIYYPTDTSQGTFGAVAISPGYTADQTSIAWIGPRLASQGFVVFTIDTITRYDQPASRGDQLLAALDYLTQRSSVASRIDSSRLGVAGHSMGGGGTLEAADERPSLQAAVPLAPWNLRKNFSSVQVPTFIIGGESDTVAPVATHSEPFYTSLPSSLDKAYMELNNASHFFPNTSNTTMAKYMISWFKRFIDNDTRYDQFLCPNPSGLAIEEYRSTCPY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>
        <v>414</v>
      </c>
      <c r="Z151" s="5" t="inlineStr">
        <is>
          <t>WP_123685830.1</t>
        </is>
      </c>
      <c r="AA151" s="5" t="inlineStr">
        <is>
          <t>Direct</t>
        </is>
      </c>
      <c r="AB151" s="5" t="n">
        <v>316</v>
      </c>
      <c r="AC151" s="5" t="inlineStr">
        <is>
          <t>10.1126/science.adp5637</t>
        </is>
      </c>
      <c r="AD151" s="5" t="inlineStr">
        <is>
          <t>MRRSPRNLARLVTALALVAGAATATASAQAADNPYERGPDPTESSIEASRGPFAVSQTTVSSLVVSGFGGGTIYYPTDTSQGTFGAVAISPGYTADQTSIAWIGPRLASQGFVVFTIDTITRYDQPASRGDQLLAALDYLTQRSSVASRIDSSRLGVAGHSMGGGGTLEAADERPSLQAAVPLAPWNLRKNFSSVQVPTFIIGGESDTVAPVATHSEPFYTSLPSSLDKAYMELNNASHFFPNTSNTTMAKYMISWFKRFIDNDTRYDQFLCPNPSGLAIEEYRSTCPY</t>
        </is>
      </c>
      <c r="AE151" s="5" t="inlineStr">
        <is>
          <t>Amycolatopsis bacterium</t>
        </is>
      </c>
      <c r="AF151" s="5" t="n"/>
      <c r="AG151" s="5" t="inlineStr">
        <is>
          <t>supp_unavailable</t>
        </is>
      </c>
      <c r="AH151" s="5" t="inlineStr">
        <is>
          <t>ncbi</t>
        </is>
      </c>
      <c r="AI151" s="5" t="n"/>
      <c r="AJ151" s="5" t="n"/>
      <c r="AK151" s="5" t="n"/>
      <c r="AL151" s="5" t="n">
        <v>1</v>
      </c>
    </row>
    <row r="152" ht="15" customHeight="1" s="12">
      <c r="A152" s="5" t="inlineStr">
        <is>
          <t>retrieving_only</t>
        </is>
      </c>
      <c r="B152" s="5" t="inlineStr">
        <is>
          <t>MRGHRHHPSLSRNTHADRASRGFRGRLFRIVTAGVAAAVGLFAIALTAGTASAADNPFQRGPDPTRASVAAQTGPFANASVSVPTGYGFNGGRIYYPTDTSQGTFGAIAISPGYTALFSAELAWMGPWLASHGFVVIGIETNSRNDFDTARGTQLLAALDYLTQQSPVRDRVDPNRLAVSGHSMGGGGALSAASRRSSLKAAVGITPYSPSSNLANDRVPTMIISGQADTVVTPSYALGLYNSLPATTESVYLEVAGGDHGFMVGRSNPVMIRTMLPFVKMFIDNDTRYSQFLCPLADSSGVVTYRSTCPLLPGAPTTPPTTPPTDSPGSAGEIVGTQSGRCIDVPNAARDNGTRVQLYDCNKQPNQSWTYTSNKQLQVYGDRCLDAAGSGNGAAVQIYSCHSQTNQQWNLNSNGTISNVQSGRCLDVWSTANGAQVQLYDCHGQTNQQFRLASRTR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inlineStr">
        <is>
          <t>DP061</t>
        </is>
      </c>
      <c r="Z152" s="5" t="inlineStr">
        <is>
          <t>WP_221382552.1</t>
        </is>
      </c>
      <c r="AA152" s="5" t="inlineStr">
        <is>
          <t>Direct</t>
        </is>
      </c>
      <c r="AB152" s="5" t="n">
        <v>396</v>
      </c>
      <c r="AC152" s="5" t="inlineStr">
        <is>
          <t>10.1021/acscatal.5c03460</t>
        </is>
      </c>
      <c r="AD152" s="5" t="inlineStr">
        <is>
          <t>MRGHRHHPSLSRNTHADRASRGFRGRLFRIVTAGVAAAVGLFAIALTAGTASAADNPFQRGPDPTRASVAAQTGPFANASVSVPTGYGFNGGRIYYPTDTSQGTFGAIAISPGYTALFSAELAWMGPWLASHGFVVIGIETNSRNDFDTARGTQLLAALDYLTQQSPVRDRVDPNRLAVSGHSMGGGGALSAASRRSSLKAAVGITPYSPSSNLANDRVPTMIISGQADTVVTPSYALGLYNSLPATTESVYLEVAGGDHGFMVGRSNPVMIRTMLPFVKMFIDNDTRYSQFLCPLADSSGVVTYRSTCPLLPGAPTTPPTTPPTDSPGSAGEIVGTQSGRCIDVPNAARDNGTRVQLYDCNKQPNQSWTYTSNKQLQVYGDRCLDAAGSGNGAAVQIYSCHSQTNQQWNLNSNGTISNVQSGRCLDVWSTANGAQVQLYDCHGQTNQQFRLASRTR</t>
        </is>
      </c>
      <c r="AE152" s="5" t="inlineStr">
        <is>
          <t>Paractinoplanes polyasparticus</t>
        </is>
      </c>
      <c r="AF152" s="5" t="n">
        <v>2856853</v>
      </c>
      <c r="AG152" s="5" t="inlineStr">
        <is>
          <t>seq_in_supp</t>
        </is>
      </c>
      <c r="AH152" s="5" t="inlineStr">
        <is>
          <t>ncbi</t>
        </is>
      </c>
      <c r="AI152" s="5" t="n"/>
      <c r="AJ152" s="5" t="n"/>
      <c r="AK152" s="5" t="n"/>
      <c r="AL152" s="5" t="n">
        <v>1</v>
      </c>
    </row>
    <row r="153" ht="15" customHeight="1" s="12">
      <c r="A153" s="5" t="inlineStr">
        <is>
          <t>retrieving_only</t>
        </is>
      </c>
      <c r="B153" s="5" t="inlineStr">
        <is>
          <t>MPTLRGRLTKLAAAGIAAAVGLLTVTVAAGSASAADNPYERGPDPTRTSVATERGPFANTSVSVPTGYGFNGGRIYYPTDTSQGTFGAIAISPGYTALFSAELAWMGPWLASHGFVVIGIETNSRNDFDTARGTQLLAALDYLTQQSPVRDRVDASRLAVAGHSMGGGGALSAATRRPALKAAVGITPFSPSSNLANDRVPTMVISGQADTVVTPSYALDLYNSLPSTTESVYVEVAGGDHGFMVGRSNPVMIRTMLPFLKIFVDNDARYSQFLCPLMDNSGVVTYRSTCPLINTPTTPPPTSPPPTSPPPTSPPPTTPPPGSATQIVGVQSNRCIDVPNSSRNNGTRVQLYDCHGQTNQAWTYTANKQLQVYGNMCLDAAGTGNGAAVQIYSCHGGANQQWNVNSNGTISGVQSGRCLDVWSTSNGAQVQLYDCHGGTNQRFNLVAR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>
        <v>1546</v>
      </c>
      <c r="Z153" s="5" t="inlineStr">
        <is>
          <t>WP_013736455.1</t>
        </is>
      </c>
      <c r="AA153" s="5" t="inlineStr">
        <is>
          <t>Direct</t>
        </is>
      </c>
      <c r="AB153" s="5" t="n">
        <v>292</v>
      </c>
      <c r="AC153" s="5" t="inlineStr">
        <is>
          <t>10.1126/science.adp5637</t>
        </is>
      </c>
      <c r="AD153" s="5" t="inlineStr">
        <is>
          <t>MPTLRGRLTKLAAAGIAAAVGLLTVTVAAGSASAADNPYERGPDPTRTSVATERGPFANTSVSVPTGYGFNGGRIYYPTDTSQGTFGAIAISPGYTALFSAELAWMGPWLASHGFVVIGIETNSRNDFDTARGTQLLAALDYLTQQSPVRDRVDASRLAVAGHSMGGGGALSAATRRPALKAAVGITPFSPSSNLANDRVPTMVISGQADTVVTPSYALDLYNSLPSTTESVYVEVAGGDHGFMVGRSNPVMIRTMLPFLKIFVDNDARYSQFLCPLMDNSGVVTYRSTCPLINTPTTPPPTSPPPTSPPPTSPPPTTPPPGSATQIVGVQSNRCIDVPNSSRNNGTRVQLYDCHGQTNQAWTYTANKQLQVYGNMCLDAAGTGNGAAVQIYSCHGGANQQWNVNSNGTISGVQSGRCLDVWSTSNGAQVQLYDCHGGTNQRFNLVAR</t>
        </is>
      </c>
      <c r="AE153" s="5" t="inlineStr">
        <is>
          <t>Micromonospora sp. (multispecies)</t>
        </is>
      </c>
      <c r="AF153" s="5" t="n"/>
      <c r="AG153" s="5" t="inlineStr">
        <is>
          <t>supp_unavailable</t>
        </is>
      </c>
      <c r="AH153" s="5" t="inlineStr">
        <is>
          <t>ncbi</t>
        </is>
      </c>
      <c r="AI153" s="5" t="n"/>
      <c r="AJ153" s="5" t="n"/>
      <c r="AK153" s="5" t="n"/>
      <c r="AL153" s="5" t="n">
        <v>1</v>
      </c>
    </row>
    <row r="154" ht="15" customHeight="1" s="12">
      <c r="A154" s="5" t="inlineStr">
        <is>
          <t>retrieving_only</t>
        </is>
      </c>
      <c r="B154" s="5" t="inlineStr">
        <is>
          <t>MRGPADHPPPAGNTRADRVSPGFRGRLFTLAAAGIAVAVGLFTITVATGSASAADNPYQRGPDPTRTSVTAVNGPFANTSVSVPTGYGFNGGRIYYPTDTSQGTFGAIAISPGYTALFSAELAWMGPWLASHGFVVIGIETNSRNDFDTARGTQLLAALDYLTQQSPVRDRVDPNRLAVAGHSMGGGGALSAAIRRPSLKAVVGIAPYSPSSNLANDRVPTMIFSGQADTVVTPSYATGLYNSLPATTESVYLEVAGADHGFMVGRSNPVMVRTMLPFVKMFIDDDARYSQFLCPLLDNSGVVTYRSTCPLLPTTPTTPPTGTPTPTPTPTQTTPPPGSASQIVGTQSGRCVDVPNASTTNGTRVQLYDCNRQTNQAWTYTSTKQLQVYGTMCLDAAGTGNGAAVQIYSCHSQTNQQWNVNSNGTISSVQSGRCLDAWSTANGAQIQLYDCHGQTNQQFRLAALA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>
        <v>1642</v>
      </c>
      <c r="Z154" s="5" t="inlineStr">
        <is>
          <t>WP_139584963.1</t>
        </is>
      </c>
      <c r="AA154" s="5" t="inlineStr">
        <is>
          <t>Direct</t>
        </is>
      </c>
      <c r="AB154" s="5" t="n">
        <v>294</v>
      </c>
      <c r="AC154" s="5" t="inlineStr">
        <is>
          <t>10.1126/science.adp5637</t>
        </is>
      </c>
      <c r="AD154" s="5" t="inlineStr">
        <is>
          <t>MRGPADHPPPAGNTRADRVSPGFRGRLFTLAAAGIAVAVGLFTITVATGSASAADNPYQRGPDPTRTSVTAVNGPFANTSVSVPTGYGFNGGRIYYPTDTSQGTFGAIAISPGYTALFSAELAWMGPWLASHGFVVIGIETNSRNDFDTARGTQLLAALDYLTQQSPVRDRVDPNRLAVAGHSMGGGGALSAAIRRPSLKAVVGIAPYSPSSNLANDRVPTMIFSGQADTVVTPSYATGLYNSLPATTESVYLEVAGADHGFMVGRSNPVMVRTMLPFVKMFIDDDARYSQFLCPLLDNSGVVTYRSTCPLLPTTPTTPPTGTPTPTPTPTQTTPPPGSASQIVGTQSGRCVDVPNASTTNGTRVQLYDCNRQTNQAWTYTSTKQLQVYGTMCLDAAGTGNGAAVQIYSCHSQTNQQWNVNSNGTISSVQSGRCLDAWSTANGAQIQLYDCHGQTNQQFRLAALA</t>
        </is>
      </c>
      <c r="AE154" s="5" t="inlineStr">
        <is>
          <t>Micromonospora orduensis</t>
        </is>
      </c>
      <c r="AF154" s="5" t="n">
        <v>1420891</v>
      </c>
      <c r="AG154" s="5" t="inlineStr">
        <is>
          <t>supp_unavailable</t>
        </is>
      </c>
      <c r="AH154" s="5" t="inlineStr">
        <is>
          <t>ncbi</t>
        </is>
      </c>
      <c r="AI154" s="5" t="n"/>
      <c r="AJ154" s="5" t="n"/>
      <c r="AK154" s="5" t="n"/>
      <c r="AL154" s="5" t="n">
        <v>1</v>
      </c>
    </row>
    <row r="155" ht="15" customHeight="1" s="12">
      <c r="A155" s="5" t="inlineStr">
        <is>
          <t>retrieving_only</t>
        </is>
      </c>
      <c r="B155" s="5" t="inlineStr">
        <is>
          <t>MRGPADHPPPPGDTHADRPSPRSRGRLLKLAAAGIAAAVGLLTIAVATGSASAADNPYQRGPDPTAASVTAVNGPFANTSVSVPTGYGFNGGRIYYPTDTSQGTFGAIAISPGYTALFSAELAWMGPWLASHGFVVIGIETNSRNDFDTARGTQLLAALDYLTQQSPVRDRVDPNRLAVAGHSMGGGGALSAATRRPSLKAVVGIAPYSPSSNLANDRVPTMIFAGQADTVVTPSYATGLYNSLPTTTESTYLEVAGADHGFMVGRSNPVLVRTMLPFVKMFLDNDARYSQFLCPLLDNSGVVTYRSTCPLLPSTPTSPTPTTTPTSTPTPTPTVTPTTPPGSASQIVGTQSGRCVDVPNASRTNGTRVHLWDCNRQANQAWTYTANKQLQVYGTMCLDAAGTGNGAAVQIYSCHGQTNQQWNVNSNGTISSVQSGRCLDVWSTANGAQVQLYDCHGQTNQQFRLTALN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inlineStr">
        <is>
          <t>ESM130</t>
        </is>
      </c>
      <c r="Z155" s="5" t="inlineStr">
        <is>
          <t>MCF0091346.1</t>
        </is>
      </c>
      <c r="AA155" s="5" t="inlineStr">
        <is>
          <t>Direct</t>
        </is>
      </c>
      <c r="AB155" s="5" t="n">
        <v>439</v>
      </c>
      <c r="AC155" s="5" t="inlineStr">
        <is>
          <t>10.1021/acscatal.5c03460</t>
        </is>
      </c>
      <c r="AD155" s="5" t="inlineStr">
        <is>
          <t>MRGPADHPPPPGDTHADRPSPRSRGRLLKLAAAGIAAAVGLLTIAVATGSASAADNPYQRGPDPTAASVTAVNGPFANTSVSVPTGYGFNGGRIYYPTDTSQGTFGAIAISPGYTALFSAELAWMGPWLASHGFVVIGIETNSRNDFDTARGTQLLAALDYLTQQSPVRDRVDPNRLAVAGHSMGGGGALSAATRRPSLKAVVGIAPYSPSSNLANDRVPTMIFAGQADTVVTPSYATGLYNSLPTTTESTYLEVAGADHGFMVGRSNPVLVRTMLPFVKMFLDNDARYSQFLCPLLDNSGVVTYRSTCPLLPSTPTSPTPTTTPTSTPTPTPTVTPTTPPGSASQIVGTQSGRCVDVPNASRTNGTRVHLWDCNRQANQAWTYTANKQLQVYGTMCLDAAGTGNGAAVQIYSCHGQTNQQWNVNSNGTISSVQSGRCLDVWSTANGAQVQLYDCHGQTNQQFRLTALN</t>
        </is>
      </c>
      <c r="AE155" s="5" t="inlineStr">
        <is>
          <t>Micromonospora sp. MH99</t>
        </is>
      </c>
      <c r="AF155" s="5" t="n">
        <v>1945510</v>
      </c>
      <c r="AG155" s="5" t="inlineStr">
        <is>
          <t>seq_in_supp</t>
        </is>
      </c>
      <c r="AH155" s="5" t="inlineStr">
        <is>
          <t>ncbi</t>
        </is>
      </c>
      <c r="AI155" s="5" t="n"/>
      <c r="AJ155" s="5" t="n"/>
      <c r="AK155" s="5" t="n"/>
      <c r="AL155" s="5" t="n">
        <v>1</v>
      </c>
    </row>
    <row r="156" ht="15" customHeight="1" s="12">
      <c r="A156" s="5" t="inlineStr">
        <is>
          <t>retrieving_only</t>
        </is>
      </c>
      <c r="B156" s="5" t="inlineStr">
        <is>
          <t>MRRRPRIVVGILSVLTLILATIAGIAGASFATAAPDTVVGNPFARGPDPTKESIEAERGPFAVATEKVPGGKGFGGGTIHYPTDTSQGTFGAIAVAPGFTESESAIAWYGPRLASQGFVVITISTNGLWDLPASRADQLLAALRHVTDASQIKSRVDRDRLAVMGHSMGGGGSLIAARNNPALKATIPLTGWNPNTSFSDLKVPTFVVSAQNDFIAPDGSHSRPFYQSLPASLNKAYMRLAGVGHMAPVNPNVTIAKYSISWLKRFVDNDTRYSQFLCPLPTGDPKIAAYEGTCPLS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inlineStr">
        <is>
          <t>DP008</t>
        </is>
      </c>
      <c r="Z156" s="5" t="inlineStr">
        <is>
          <t>WP_130342639</t>
        </is>
      </c>
      <c r="AA156" s="5" t="inlineStr">
        <is>
          <t>Direct</t>
        </is>
      </c>
      <c r="AB156" s="5" t="n">
        <v>384</v>
      </c>
      <c r="AC156" s="5" t="inlineStr">
        <is>
          <t>10.1021/acscatal.5c03460</t>
        </is>
      </c>
      <c r="AD156" s="5" t="inlineStr">
        <is>
          <t>MRRRPRIVVGILSVLTLILATIAGIAGASFATAAPDTVVGNPFARGPDPTKESIEAERGPFAVATEKVPGGKGFGGGTIHYPTDTSQGTFGAIAVAPGFTESESAIAWYGPRLASQGFVVITISTNGLWDLPASRADQLLAALRHVTDASQIKSRVDRDRLAVMGHSMGGGGSLIAARNNPALKATIPLTGWNPNTSFSDLKVPTFVVSAQNDFIAPDGSHSRPFYQSLPASLNKAYMRLAGVGHMAPVNPNVTIAKYSISWLKRFVDNDTRYSQFLCPLPTGDPKIAAYEGTCPLS</t>
        </is>
      </c>
      <c r="AE156" s="5" t="inlineStr">
        <is>
          <t>Herbihabitans rhizosphaerae</t>
        </is>
      </c>
      <c r="AF156" s="5" t="n">
        <v>1872711</v>
      </c>
      <c r="AG156" s="5" t="inlineStr">
        <is>
          <t>seq_in_supp</t>
        </is>
      </c>
      <c r="AH156" s="5" t="inlineStr">
        <is>
          <t>ncbi</t>
        </is>
      </c>
      <c r="AI156" s="5" t="n"/>
      <c r="AJ156" s="5" t="n"/>
      <c r="AK156" s="5" t="n"/>
      <c r="AL156" s="5" t="n">
        <v>1</v>
      </c>
    </row>
    <row r="157" ht="15" customHeight="1" s="12">
      <c r="A157" s="5" t="inlineStr">
        <is>
          <t>retrieving_only</t>
        </is>
      </c>
      <c r="B157" s="5" t="inlineStr">
        <is>
          <t>MKSIPITDISGFQIGYADNAALGTGCTAILCRAGAVAGCDVRGGGPATRDTDLLAPKNTVEAIHGVLLSGGSAFGLEAGTGVMKYLSEQGIGMPVTPGVSVPIVVQADIFDLAVGDPVWPDVAMGYAAAKDSEHNVIRHGNAGAGMGASVGKILGPEKAMKSGIGTAAFECGPLKVGAVVVVNACGDVFAMDSDTRLAGVQSDQSMEEIMGMLYETEAARAMAQAQDAEASRKNTTIGCVLTNGQFTKAQMNKLASLAQNGLSRTIRPVNMTLDGDTLFAMTTGEVPAPLDVAGMMAVKAVAKAVETAVNEAETAYGLKGRKSQ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inlineStr">
        <is>
          <t>Nyl13</t>
        </is>
      </c>
      <c r="Z157" s="5" t="inlineStr">
        <is>
          <t>WP_075885500.1</t>
        </is>
      </c>
      <c r="AA157" s="5" t="inlineStr">
        <is>
          <t>Direct</t>
        </is>
      </c>
      <c r="AB157" s="5" t="n">
        <v>347</v>
      </c>
      <c r="AC157" s="5" t="inlineStr">
        <is>
          <t>10.1016/j.checat.2025.101418</t>
        </is>
      </c>
      <c r="AD157" s="5" t="inlineStr">
        <is>
          <t>MKSIPITDISGFQIGYADNAALGTGCTAILCRAGAVAGCDVRGGGPATRDTDLLAPKNTVEAIHGVLLSGGSAFGLEAGTGVMKYLSEQGIGMPVTPGVSVPIVVQADIFDLAVGDPVWPDVAMGYAAAKDSEHNVIRHGNAGAGMGASVGKILGPEKAMKSGIGTAAFECGPLKVGAVVVVNACGDVFAMDSDTRLAGVQSDQSMEEIMGMLYETEAARAMAQAQDAEASRKNTTIGCVLTNGQFTKAQMNKLASLAQNGLSRTIRPVNMTLDGDTLFAMTTGEVPAPLDVAGMMAVKAVAKAVETAVNEAETAYGLKGRKSQ</t>
        </is>
      </c>
      <c r="AE157" s="5" t="inlineStr">
        <is>
          <t>Faecalibaculum rodentium</t>
        </is>
      </c>
      <c r="AF157" s="5" t="n">
        <v>1702221</v>
      </c>
      <c r="AG157" s="5" t="inlineStr">
        <is>
          <t>supp_unavailable</t>
        </is>
      </c>
      <c r="AH157" s="5" t="inlineStr">
        <is>
          <t>ncbi</t>
        </is>
      </c>
      <c r="AI157" s="5" t="n"/>
      <c r="AJ157" s="5" t="n"/>
      <c r="AK157" s="5" t="n"/>
      <c r="AL157" s="5" t="n">
        <v>1</v>
      </c>
    </row>
    <row r="158" ht="15" customHeight="1" s="12">
      <c r="A158" s="5" t="inlineStr">
        <is>
          <t>retrieving_only</t>
        </is>
      </c>
      <c r="B158" s="5" t="inlineStr">
        <is>
          <t>MRRRTLPIAVLAAVPLAMAGALPAGAAPAAPAVPVAMAAAGQGVTGQYIVTLKKGVSVDSTVSKRGIRTQYRFGKVLNGFSAKLTDAQLAKLRTTPGVASIEQDAVIKADATQTNPPSWGIDRIDQTNLPLSNSYTYNSTGAGVNAYIIDTGIYTAHPNFGGRATNVYDALGGNGQDCNGHGTHVAGTVGSTSYGVAKSVNLRGVRVLNCSGSGTTSGVIAGMNWVAGNHVKPAVANMSLGGGYSSSINTAANNLANAGVFLAAAAGNENTNACNRSPASAANATTVAASTSTDARASYSNYGSCVHLYAPGSSITSTWLNGGTNTISGTSMATPHVAGVAALYKATYGDASFSTIRSWLTSNATSGVITGNPSGTPNRLLNKRSL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inlineStr">
        <is>
          <t>PAM</t>
        </is>
      </c>
      <c r="Z158" s="5" t="inlineStr">
        <is>
          <t>BAU20375</t>
        </is>
      </c>
      <c r="AA158" s="5" t="inlineStr">
        <is>
          <t>Direct</t>
        </is>
      </c>
      <c r="AB158" s="5" t="n">
        <v>254</v>
      </c>
      <c r="AC158" s="5" t="inlineStr">
        <is>
          <t>10.1038/s41586-024-07709-1</t>
        </is>
      </c>
      <c r="AD158" s="5" t="inlineStr">
        <is>
          <t>MRRRTLPIAVLAAVPLAMAGALPAGAAPAAPAVPVAMAAAGQGVTGQYIVTLKKGVSVDSTVSKRGIRTQYRFGKVLNGFSAKLTDAQLAKLRTTPGVASIEQDAVIKADATQTNPPSWGIDRIDQTNLPLSNSYTYNSTGAGVNAYIIDTGIYTAHPNFGGRATNVYDALGGNGQDCNGHGTHVAGTVGSTSYGVAKSVNLRGVRVLNCSGSGTTSGVIAGMNWVAGNHVKPAVANMSLGGGYSSSINTAANNLANAGVFLAAAAGNENTNACNRSPASAANATTVAASTSTDARASYSNYGSCVHLYAPGSSITSTWLNGGTNTISGTSMATPHVAGVAALYKATYGDASFSTIRSWLTSNATSGVITGNPSGTPNRLLNKRSL</t>
        </is>
      </c>
      <c r="AE158" s="5" t="inlineStr">
        <is>
          <t>Actinomadura keratinilytica</t>
        </is>
      </c>
      <c r="AF158" s="5" t="n">
        <v>547461</v>
      </c>
      <c r="AG158" s="5" t="inlineStr">
        <is>
          <t>supp_unavailable</t>
        </is>
      </c>
      <c r="AH158" s="5" t="inlineStr">
        <is>
          <t>ncbi</t>
        </is>
      </c>
      <c r="AI158" s="5" t="n"/>
      <c r="AJ158" s="5" t="n"/>
      <c r="AK158" s="5" t="n"/>
      <c r="AL158" s="5" t="n">
        <v>1</v>
      </c>
    </row>
    <row r="159" ht="15" customHeight="1" s="12">
      <c r="A159" s="5" t="inlineStr">
        <is>
          <t>retrieving_only</t>
        </is>
      </c>
      <c r="B159" s="5" t="inlineStr">
        <is>
          <t>MPPADLQARLAKPLVRSLGRLPRPALAKLAGPPPAAAPDLEPEAQLLARFSERSPLPRIETLPVAAARSLFDAQVDSVTRREHLPVTTLEHTLPVGDVRLRARLYVPQQAPSTGPLLVYFHGGGFVLGSIATHDAPLRLLAHASGVRILSVDYRLAPEHRFPAAVEDAVAAFEHVAAEPQLFSTDPGSIAVGGDSAGGTLAAVVCQELRRRGGPLPCFQLLIYPATELFDQFPSRRAFARGFILTEEEMNWFADHYVPDRELRRDPRVSPLREPDLAGLPPAHVATAAADPLRDEGEEYARRLRAAGVPVSAYRHPHLHGFLNMTALPAARAGTIQIAGVLCHALSAVPREP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inlineStr">
        <is>
          <t>TA21</t>
        </is>
      </c>
      <c r="Z159" s="5" t="inlineStr">
        <is>
          <t>WDT94064</t>
        </is>
      </c>
      <c r="AA159" s="5" t="inlineStr">
        <is>
          <t>Direct</t>
        </is>
      </c>
      <c r="AB159" s="5" t="n">
        <v>484</v>
      </c>
      <c r="AC159" s="5" t="inlineStr">
        <is>
          <t>10.1111/febs.70478</t>
        </is>
      </c>
      <c r="AD159" s="5" t="inlineStr">
        <is>
          <t>MPPADLQARLAKPLVRSLGRLPRPALAKLAGPPPAAAPDLEPEAQLLARFSERSPLPRIETLPVAAARSLFDAQVDSVTRREHLPVTTLEHTLPVGDVRLRARLYVPQQAPSTGPLLVYFHGGGFVLGSIATHDAPLRLLAHASGVRILSVDYRLAPEHRFPAAVEDAVAAFEHVAAEPQLFSTDPGSIAVGGDSAGGTLAAVVCQELRRRGGPLPCFQLLIYPATELFDQFPSRRAFARGFILTEEEMNWFADHYVPDRELRRDPRVSPLREPDLAGLPPAHVATAAADPLRDEGEEYARRLRAAGVPVSAYRHPHLHGFLNMTALPAARAGTIQIAGVLCHALSAVPREP</t>
        </is>
      </c>
      <c r="AE159" s="5" t="inlineStr">
        <is>
          <t>Thermoleophilum album</t>
        </is>
      </c>
      <c r="AF159" s="5" t="n">
        <v>29539</v>
      </c>
      <c r="AG159" s="5" t="inlineStr">
        <is>
          <t>supp_unavailable</t>
        </is>
      </c>
      <c r="AH159" s="5" t="inlineStr">
        <is>
          <t>ncbi</t>
        </is>
      </c>
      <c r="AI159" s="5" t="n"/>
      <c r="AJ159" s="5" t="n"/>
      <c r="AK159" s="5" t="n"/>
      <c r="AL159" s="5" t="n">
        <v>1</v>
      </c>
    </row>
    <row r="160" ht="15" customHeight="1" s="12">
      <c r="A160" s="5" t="inlineStr">
        <is>
          <t>retrieving_only</t>
        </is>
      </c>
      <c r="B160" s="5" t="inlineStr">
        <is>
          <t>MPNTPGYDILPGIIKIPGVGLGTVSDAVKGTGITALLLPPGSRAAVDVAGGAPATRETPVLDPANLVPGPDAIILSGGSALGLQTADGAQDVLHRNHRGFAVANVHIPIVVAACIFDLDYGQPQPPTLQDGQQAMEQALMEQTECLVPEGSAGAGTGATVGKSLGPQFAMKGGQAAISLITPGGLMVAALIVVNAMGSILAEDGRILAGPRSSDGHPQATTPALWEQNPGVLTEGESTTIGAIITNGRLSKAELVRVCRMGHDGLARAIDPVHTPWDGDTLFAVSAGDCQSSPAMVGALAAHAVSLAIRRAVSLANAETGSQETT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inlineStr">
        <is>
          <t>Nyl25</t>
        </is>
      </c>
      <c r="Z160" s="5" t="inlineStr">
        <is>
          <t>PSR30050</t>
        </is>
      </c>
      <c r="AA160" s="5" t="inlineStr">
        <is>
          <t>Direct</t>
        </is>
      </c>
      <c r="AB160" s="5" t="n">
        <v>351</v>
      </c>
      <c r="AC160" s="5" t="inlineStr">
        <is>
          <t>10.1016/j.checat.2025.101418</t>
        </is>
      </c>
      <c r="AD160" s="5" t="inlineStr">
        <is>
          <t>MPNTPGYDILPGIIKIPGVGLGTVSDAVKGTGITALLLPPGSRAAVDVAGGAPATRETPVLDPANLVPGPDAIILSGGSALGLQTADGAQDVLHRNHRGFAVANVHIPIVVAACIFDLDYGQPQPPTLQDGQQAMEQALMEQTECLVPEGSAGAGTGATVGKSLGPQFAMKGGQAAISLITPGGLMVAALIVVNAMGSILAEDGRILAGPRSSDGHPQATTPALWEQNPGVLTEGESTTIGAIITNGRLSKAELVRVCRMGHDGLARAIDPVHTPWDGDTLFAVSAGDCQSSPAMVGALAAHAVSLAIRRAVSLANAETGSQETT</t>
        </is>
      </c>
      <c r="AE160" s="5" t="inlineStr">
        <is>
          <t>Sulfobacillus benefaciens</t>
        </is>
      </c>
      <c r="AF160" s="5" t="n">
        <v>453960</v>
      </c>
      <c r="AG160" s="5" t="inlineStr">
        <is>
          <t>supp_unavailable</t>
        </is>
      </c>
      <c r="AH160" s="5" t="inlineStr">
        <is>
          <t>ncbi</t>
        </is>
      </c>
      <c r="AI160" s="5" t="n"/>
      <c r="AJ160" s="5" t="n"/>
      <c r="AK160" s="5" t="n"/>
      <c r="AL160" s="5" t="n">
        <v>1</v>
      </c>
    </row>
    <row r="161" ht="15" customHeight="1" s="12">
      <c r="A161" s="5" t="inlineStr">
        <is>
          <t>retrieving_only</t>
        </is>
      </c>
      <c r="B161" s="5" t="inlineStr">
        <is>
          <t>MPPPPPPPPPVQTVTVEPGYGFGGGTIYYPQESTGRLPVVAAVPGFTETQEAVAWYGPLLARRGNIVITIDTISPTNAPKTRADQALAAIDYVVTQSAVSDIADASRTAVMGHSMGGGASLFAALKRPTLKAIVPLAPWARTTDFSGVAVPTLIVGCENDGIAAVGTYAEPFYESIPATTPKAYLEMAGGNHYCTNSEDPVIAGYVSAWTDRFLKGDTTASSRLCPPSPVGPISEYRSNCPY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inlineStr">
        <is>
          <t>TEP189</t>
        </is>
      </c>
      <c r="Z161" s="5" t="inlineStr">
        <is>
          <t>GIU85371.1</t>
        </is>
      </c>
      <c r="AA161" s="5" t="inlineStr">
        <is>
          <t>Direct</t>
        </is>
      </c>
      <c r="AB161" s="5" t="n">
        <v>478</v>
      </c>
      <c r="AC161" s="5" t="inlineStr">
        <is>
          <t>10.1021/acscatal.5c03460</t>
        </is>
      </c>
      <c r="AD161" s="5" t="inlineStr">
        <is>
          <t>MPPPPPPPPPVQTVTVEPGYGFGGGTIYYPQESTGRLPVVAAVPGFTETQEAVAWYGPLLARRGNIVITIDTISPTNAPKTRADQALAAIDYVVTQSAVSDIADASRTAVMGHSMGGGASLFAALKRPTLKAIVPLAPWARTTDFSGVAVPTLIVGCENDGIAAVGTYAEPFYESIPATTPKAYLEMAGGNHYCTNSEDPVIAGYVSAWTDRFLKGDTTASSRLCPPSPVGPISEYRSNCPY</t>
        </is>
      </c>
      <c r="AE161" s="5" t="inlineStr">
        <is>
          <t>Acidimicrobiales bacterium</t>
        </is>
      </c>
      <c r="AF161" s="5" t="n">
        <v>2201156</v>
      </c>
      <c r="AG161" s="5" t="inlineStr">
        <is>
          <t>seq_in_supp</t>
        </is>
      </c>
      <c r="AH161" s="5" t="inlineStr">
        <is>
          <t>ncbi</t>
        </is>
      </c>
      <c r="AI161" s="5" t="n"/>
      <c r="AJ161" s="5" t="n"/>
      <c r="AK161" s="5" t="n"/>
      <c r="AL161" s="5" t="n">
        <v>1</v>
      </c>
    </row>
    <row r="162" ht="15" customHeight="1" s="12">
      <c r="A162" s="5" t="inlineStr">
        <is>
          <t>retrieving_only</t>
        </is>
      </c>
      <c r="B162" s="5" t="inlineStr">
        <is>
          <t>MPNNSVTAIDGVLVGHTTNQDSGTGCTVVLTPKGAIGGVDVRGGAPGTLETDLLTTGKQITHIHGLMLSGGSAFGLEAASGALEYLSERKIGYKTGENVIPIIPSAIIYDLNYKQFGFPSKSDGKQACLNASSDPVTIGSVGAGTGATVAKMNGFEHSVKSGVGNAAITLQSGIKIAVLVVVNAYGSIINYENGSTIAKPLNTGNDFNPFELSQYFPKTSCSKSPTDSPLNTTIGVIITNADLTKEQVNYLAKVSHDGLAMTIFPCHTLRDGDTLFALSTSELKIPVDMTALGIAATKVTADAVLSAVKKR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inlineStr">
        <is>
          <t>Nyl37</t>
        </is>
      </c>
      <c r="Z162" s="5" t="inlineStr">
        <is>
          <t>A0A3D1YDR8</t>
        </is>
      </c>
      <c r="AA162" s="5" t="inlineStr">
        <is>
          <t>Direct</t>
        </is>
      </c>
      <c r="AB162" s="5" t="n">
        <v>356</v>
      </c>
      <c r="AC162" s="5" t="inlineStr">
        <is>
          <t>10.1016/j.checat.2025.101418</t>
        </is>
      </c>
      <c r="AD162" s="5" t="inlineStr">
        <is>
          <t>MPNNSVTAIDGVLVGHTTNQDSGTGCTVVLTPKGAIGGVDVRGGAPGTLETDLLTTGKQITHIHGLMLSGGSAFGLEAASGALEYLSERKIGYKTGENVIPIIPSAIIYDLNYKQFGFPSKSDGKQACLNASSDPVTIGSVGAGTGATVAKMNGFEHSVKSGVGNAAITLQSGIKIAVLVVVNAYGSIINYENGSTIAKPLNTGNDFNPFELSQYFPKTSCSKSPTDSPLNTTIGVIITNADLTKEQVNYLAKVSHDGLAMTIFPCHTLRDGDTLFALSTSELKIPVDMTALGIAATKVTADAVLSAVKKR</t>
        </is>
      </c>
      <c r="AE162" s="5" t="inlineStr">
        <is>
          <t>Dehalococcoidia bacterium</t>
        </is>
      </c>
      <c r="AF162" s="5" t="n">
        <v>2026734</v>
      </c>
      <c r="AG162" s="5" t="inlineStr">
        <is>
          <t>supp_unavailable</t>
        </is>
      </c>
      <c r="AH162" s="5" t="inlineStr">
        <is>
          <t>uniparc</t>
        </is>
      </c>
      <c r="AI162" s="5" t="n"/>
      <c r="AJ162" s="5" t="n"/>
      <c r="AK162" s="5" t="n"/>
      <c r="AL162" s="5" t="n">
        <v>1</v>
      </c>
    </row>
    <row r="163" ht="15" customHeight="1" s="12">
      <c r="A163" s="5" t="inlineStr">
        <is>
          <t>retrieving_only</t>
        </is>
      </c>
      <c r="B163" s="5" t="inlineStr">
        <is>
          <t>MRRRTLPIAVLAAVPLAVAGALPAGAAPAAPAVPVAMAAAGQGVAGQYIVTLKKGVSVDSTVAKRGIRTQHRFGKVLNGFSAKLTDDQLSKLRTTPGVASIEQDAVITVDATQNNPPSWGLDRIDQTNLPLSRSYTYNSTGAGVNAYIIDTGIYTAHSDFGGRAANVYDALGGNGQDCNGHGTHVAGTVGGAAYGVAKAVNLRGVRVLNCSGSGTTSGVIAGMNWVASNHVKPAVANMSLGGGYSSSLNTAANNLASSGVFLAVAAGNETTNACNRSPASAANATTVAASTSTDARASYSNYGSCVHLYAPGSSITSAWLNGGTNTISGTSMATPHVAGTAALYKATYGDASFSTIRSWLVSNATSGVITGNVSGTPNLLLNKRSL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inlineStr">
        <is>
          <t>serineprotease</t>
        </is>
      </c>
      <c r="Z163" s="5" t="inlineStr">
        <is>
          <t>WP_378272130.1</t>
        </is>
      </c>
      <c r="AA163" s="5" t="inlineStr">
        <is>
          <t>Direct</t>
        </is>
      </c>
      <c r="AB163" s="5" t="n">
        <v>66</v>
      </c>
      <c r="AC163" s="5" t="inlineStr">
        <is>
          <t>10.2323/jgam.55.459</t>
        </is>
      </c>
      <c r="AD163" s="5" t="inlineStr">
        <is>
          <t>MRRRTLPIAVLAAVPLAVAGALPAGAAPAAPAVPVAMAAAGQGVAGQYIVTLKKGVSVDSTVAKRGIRTQHRFGKVLNGFSAKLTDDQLSKLRTTPGVASIEQDAVITVDATQNNPPSWGLDRIDQTNLPLSRSYTYNSTGAGVNAYIIDTGIYTAHSDFGGRAANVYDALGGNGQDCNGHGTHVAGTVGGAAYGVAKAVNLRGVRVLNCSGSGTTSGVIAGMNWVASNHVKPAVANMSLGGGYSSSLNTAANNLASSGVFLAVAAGNETTNACNRSPASAANATTVAASTSTDARASYSNYGSCVHLYAPGSSITSAWLNGGTNTISGTSMATPHVAGTAALYKATYGDASFSTIRSWLVSNATSGVITGNVSGTPNLLLNKRSL</t>
        </is>
      </c>
      <c r="AE163" s="5" t="inlineStr">
        <is>
          <t>Actinomadura keratinilytica</t>
        </is>
      </c>
      <c r="AF163" s="5" t="n">
        <v>547461</v>
      </c>
      <c r="AG163" s="5" t="inlineStr">
        <is>
          <t>supp_unavailable</t>
        </is>
      </c>
      <c r="AH163" s="5" t="inlineStr">
        <is>
          <t>ncbi</t>
        </is>
      </c>
      <c r="AI163" s="5" t="n"/>
      <c r="AJ163" s="5" t="n"/>
      <c r="AK163" s="5" t="n"/>
      <c r="AL163" s="5" t="n">
        <v>1</v>
      </c>
    </row>
    <row r="164" ht="15" customHeight="1" s="12">
      <c r="A164" s="5" t="inlineStr">
        <is>
          <t>retrieving_only</t>
        </is>
      </c>
      <c r="B164" s="5" t="inlineStr">
        <is>
          <t>MPLAALAAEHPALLAGFDGVAIGHDTDTRRPTGCTVFLFKHGVCASADVRGGAPGTREIALLEPVNTVSSIHGLVLSGGSAYGLDTAGGVMRWLAERRIGFQLGHRVIPIVPAAVLYDLEVGEAEAYPDAQSGYRACQRAATLAEVQDGSMGAGAGATAGKLFGMDRAMRSGIGMMACVVPGTDVVVIAVVAANPVGDIYAAQSPEILAGARADERGRFLHTTRSMIEAAESGMQHLFASNTTIGAILTNAPLDKAQLQKVAQMGHDGLARTINPIHTPLDGDTLFAVSTARSQTSLSVGLLGTVAAETVAAATVRAAMQADSLPGLPCHRDWRV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inlineStr">
        <is>
          <t>Nyl16</t>
        </is>
      </c>
      <c r="Z164" s="5" t="inlineStr">
        <is>
          <t>OWT56952</t>
        </is>
      </c>
      <c r="AA164" s="5" t="inlineStr">
        <is>
          <t>Direct</t>
        </is>
      </c>
      <c r="AB164" s="5" t="n">
        <v>349</v>
      </c>
      <c r="AC164" s="5" t="inlineStr">
        <is>
          <t>10.1016/j.checat.2025.101418</t>
        </is>
      </c>
      <c r="AD164" s="5" t="inlineStr">
        <is>
          <t>MPLAALAAEHPALLAGFDGVAIGHDTDTRRPTGCTVFLFKHGVCASADVRGGAPGTREIALLEPVNTVSSIHGLVLSGGSAYGLDTAGGVMRWLAERRIGFQLGHRVIPIVPAAVLYDLEVGEAEAYPDAQSGYRACQRAATLAEVQDGSMGAGAGATAGKLFGMDRAMRSGIGMMACVVPGTDVVVIAVVAANPVGDIYAAQSPEILAGARADERGRFLHTTRSMIEAAESGMQHLFASNTTIGAILTNAPLDKAQLQKVAQMGHDGLARTINPIHTPLDGDTLFAVSTARSQTSLSVGLLGTVAAETVAAATVRAAMQADSLPGLPCHRDWRV</t>
        </is>
      </c>
      <c r="AE164" s="5" t="inlineStr">
        <is>
          <t>Candidimonas nitroreducens</t>
        </is>
      </c>
      <c r="AF164" s="5" t="n">
        <v>683354</v>
      </c>
      <c r="AG164" s="5" t="inlineStr">
        <is>
          <t>supp_unavailable</t>
        </is>
      </c>
      <c r="AH164" s="5" t="inlineStr">
        <is>
          <t>ncbi</t>
        </is>
      </c>
      <c r="AI164" s="5" t="n"/>
      <c r="AJ164" s="5" t="n"/>
      <c r="AK164" s="5" t="n"/>
      <c r="AL164" s="5" t="n">
        <v>1</v>
      </c>
    </row>
    <row r="165" ht="15" customHeight="1" s="12">
      <c r="A165" s="5" t="inlineStr">
        <is>
          <t>retrieving_only</t>
        </is>
      </c>
      <c r="B165" s="5" t="inlineStr">
        <is>
          <t>MPIVRHRFFLHYVRTHKSGVIVRLRVLPTPIRKDTHVRRILALCVTLALLVIPTGSVAHAADTPYERGPNPSESLIEQRRGNYDIAQRSISRFSSDGFRNGTIYYPTDTSDGKFGVIAISPGYTAGESSIAWLGSRIASFGFVVVTINTTTRYDQPRQRSTQLLAALDHAMNDSVVGPLIDPERQAVMGHSMGGGGALQAAESRPEIDAVVALTPWNLKKNWDGVDAATLIIGAERDTVASVRTHSIPFYESLTQAEQRGYLELRGASHFAPNVSNTTIAKYSIAWMKRYLDNDDRYDQFLNPGPAVGYASGVSDYRLQ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inlineStr">
        <is>
          <t>DP003</t>
        </is>
      </c>
      <c r="Z165" s="5" t="inlineStr">
        <is>
          <t>ACV09511</t>
        </is>
      </c>
      <c r="AA165" s="5" t="inlineStr">
        <is>
          <t>Direct</t>
        </is>
      </c>
      <c r="AB165" s="5" t="n">
        <v>381</v>
      </c>
      <c r="AC165" s="5" t="inlineStr">
        <is>
          <t>10.1021/acscatal.5c03460</t>
        </is>
      </c>
      <c r="AD165" s="5" t="inlineStr">
        <is>
          <t>MPIVRHRFFLHYVRTHKSGVIVRLRVLPTPIRKDTHVRRILALCVTLALLVIPTGSVAHAADTPYERGPNPSESLIEQRRGNYDIAQRSISRFSSDGFRNGTIYYPTDTSDGKFGVIAISPGYTAGESSIAWLGSRIASFGFVVVTINTTTRYDQPRQRSTQLLAALDHAMNDSVVGPLIDPERQAVMGHSMGGGGALQAAESRPEIDAVVALTPWNLKKNWDGVDAATLIIGAERDTVASVRTHSIPFYESLTQAEQRGYLELRGASHFAPNVSNTTIAKYSIAWMKRYLDNDDRYDQFLNPGPAVGYASGVSDYRLQ</t>
        </is>
      </c>
      <c r="AE165" s="5" t="inlineStr">
        <is>
          <t>Jonesia denitrificans</t>
        </is>
      </c>
      <c r="AF165" s="5" t="n">
        <v>43674</v>
      </c>
      <c r="AG165" s="5" t="inlineStr">
        <is>
          <t>seq_in_supp</t>
        </is>
      </c>
      <c r="AH165" s="5" t="inlineStr">
        <is>
          <t>ncbi</t>
        </is>
      </c>
      <c r="AI165" s="5" t="n"/>
      <c r="AJ165" s="5" t="n"/>
      <c r="AK165" s="5" t="n"/>
      <c r="AL165" s="5" t="n">
        <v>1</v>
      </c>
    </row>
    <row r="166" ht="15" customHeight="1" s="12">
      <c r="A166" s="5" t="inlineStr">
        <is>
          <t>retrieving_only</t>
        </is>
      </c>
      <c r="B166" s="5" t="inlineStr">
        <is>
          <t>MRGQAYHPPPPERTHAATAHPGRRGRLVKLAAAGVAAAVAGLLTMTVASGSASAADNPYQRGPDPTRSSVAAVNGPFANTSVAVPTGYGFNGGRIYYPTDTSQGTFGAIAISPGYTALFSVELAWMGPWLASHGFVVIGIETNSRNDFDTARGTQLLAALDYLTQQSPVRDRVDPNRLAVSGHSMGGGGALSAAIRRSSLKAVVGIAPYSPSSNLANDRVPTMVFAGQADTVVTPSYATGLYNSLPATTESAYLEVAGADHGFMVGRSNPVLIRTMLPFLKMFVDNDARYSQFLCPLADNSGVVSYRSTCPLLPTTPTTPPPTPSDTPPPTPSGTPTTPPTTGPPGTASLVVGAQSGRCLDVPNASRANGTRVQLWDCNRQANQQWTYTSTRQLRVYGDMCLDAAGSGNGAAVQIYGCHGQPNQQWTVNANGTISGVQSGRCLDVWSTANGAQVQLYDCHGQTNQRFTLTPVA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inlineStr">
        <is>
          <t>ESM080</t>
        </is>
      </c>
      <c r="Z166" s="5" t="inlineStr">
        <is>
          <t>WP_084261341.1</t>
        </is>
      </c>
      <c r="AA166" s="5" t="inlineStr">
        <is>
          <t>Direct</t>
        </is>
      </c>
      <c r="AB166" s="5" t="n">
        <v>428</v>
      </c>
      <c r="AC166" s="5" t="inlineStr">
        <is>
          <t>10.1021/acscatal.5c03460</t>
        </is>
      </c>
      <c r="AD166" s="5" t="inlineStr">
        <is>
          <t>MRGQAYHPPPPERTHAATAHPGRRGRLVKLAAAGVAAAVAGLLTMTVASGSASAADNPYQRGPDPTRSSVAAVNGPFANTSVAVPTGYGFNGGRIYYPTDTSQGTFGAIAISPGYTALFSVELAWMGPWLASHGFVVIGIETNSRNDFDTARGTQLLAALDYLTQQSPVRDRVDPNRLAVSGHSMGGGGALSAAIRRSSLKAVVGIAPYSPSSNLANDRVPTMVFAGQADTVVTPSYATGLYNSLPATTESAYLEVAGADHGFMVGRSNPVLIRTMLPFLKMFVDNDARYSQFLCPLADNSGVVSYRSTCPLLPTTPTTPPPTPSDTPPPTPSGTPTTPPTTGPPGTASLVVGAQSGRCLDVPNASRANGTRVQLWDCNRQANQQWTYTSTRQLRVYGDMCLDAAGSGNGAAVQIYGCHGQPNQQWTVNANGTISGVQSGRCLDVWSTANGAQVQLYDCHGQTNQRFTLTPVA</t>
        </is>
      </c>
      <c r="AE166" s="5" t="inlineStr">
        <is>
          <t>Micromonospora rifamycinica</t>
        </is>
      </c>
      <c r="AF166" s="5" t="n">
        <v>291594</v>
      </c>
      <c r="AG166" s="5" t="inlineStr">
        <is>
          <t>seq_in_supp</t>
        </is>
      </c>
      <c r="AH166" s="5" t="inlineStr">
        <is>
          <t>ncbi</t>
        </is>
      </c>
      <c r="AI166" s="5" t="n"/>
      <c r="AJ166" s="5" t="n"/>
      <c r="AK166" s="5" t="n"/>
      <c r="AL166" s="5" t="n">
        <v>1</v>
      </c>
    </row>
    <row r="167" ht="15" customHeight="1" s="12">
      <c r="A167" s="5" t="inlineStr">
        <is>
          <t>retrieving_only</t>
        </is>
      </c>
      <c r="B167" s="5" t="inlineStr">
        <is>
          <t>MRRSLPLRIAAFAAALTVPFLGTAAPAEADTYQRGPDPTASSVLSHGTFALSTTSVSSAVSGFGGGTIYYPSSTDEGTYGGVVLAPGFTASSWMYDSIARRAASHGFVVFAIDTNSIYDQPGSRGTQILAAVDYLKKGASSAVASRLDESRIAVSGHSMGGGGTLEAAKANSSLKAAVALQPWHTDKTWPEVRVPTMIIGAEDDTIAPVASHSIPFYTSATGAREKAYGEVAGAGHLIANTDDDWQGRLYVTWLKRYVDDDTRYSQFLCPPPSSSSLSDYRHTCPD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>
        <v>1309</v>
      </c>
      <c r="Z167" s="5" t="inlineStr">
        <is>
          <t>TQL66274.1</t>
        </is>
      </c>
      <c r="AA167" s="5" t="inlineStr">
        <is>
          <t>Direct</t>
        </is>
      </c>
      <c r="AB167" s="5" t="n">
        <v>315</v>
      </c>
      <c r="AC167" s="5" t="inlineStr">
        <is>
          <t>10.1126/science.adp5637</t>
        </is>
      </c>
      <c r="AD167" s="5" t="inlineStr">
        <is>
          <t>MRRSLPLRIAAFAAALTVPFLGTAAPAEADTYQRGPDPTASSVLSHGTFALSTTSVSSAVSGFGGGTIYYPSSTDEGTYGGVVLAPGFTASSWMYDSIARRAASHGFVVFAIDTNSIYDQPGSRGTQILAAVDYLKKGASSAVASRLDESRIAVSGHSMGGGGTLEAAKANSSLKAAVALQPWHTDKTWPEVRVPTMIIGAEDDTIAPVASHSIPFYTSATGAREKAYGEVAGAGHLIANTDDDWQGRLYVTWLKRYVDDDTRYSQFLCPPPSSSSLSDYRHTCPD</t>
        </is>
      </c>
      <c r="AE167" s="5" t="inlineStr">
        <is>
          <t>Nocardioides albertanoniae</t>
        </is>
      </c>
      <c r="AF167" s="5" t="n">
        <v>1175486</v>
      </c>
      <c r="AG167" s="5" t="inlineStr">
        <is>
          <t>supp_unavailable</t>
        </is>
      </c>
      <c r="AH167" s="5" t="inlineStr">
        <is>
          <t>ncbi</t>
        </is>
      </c>
      <c r="AI167" s="5" t="n"/>
      <c r="AJ167" s="5" t="n"/>
      <c r="AK167" s="5" t="n"/>
      <c r="AL167" s="5" t="n">
        <v>1</v>
      </c>
    </row>
    <row r="168" ht="15" customHeight="1" s="12">
      <c r="A168" s="5" t="inlineStr">
        <is>
          <t>retrieving_only</t>
        </is>
      </c>
      <c r="B168" s="5" t="inlineStr">
        <is>
          <t>MPILNRFAHFQLILCFLISNLVLNAQTGSFVYGDALPDAPELSARGSYAVGVRTLDFVNKGQADVLNSKNGIDPIYDRPLKVEVWYPAQLAEGAKETVVYDEVMGTAHDSLRPLTPITFKGRASRDAAPLTTDGSFPLLVVAHGYVGSRYLMTYLTENLASKGYVVVAIDHTDSTFRDASPFASTLVNRAKDISFVLNQTVNLGKAADNNFLAGLVDSENIGIIGYSMGGYGVLNVAGAGYSDGLVGFFSGMTGGSKAIVDLAMSNPDFPKVDPRIKAVVAFAPWGMERGIWDAEGLKGLKVPTFFIAGSQDDISGYEKGIKAIYTGAVNADRYLLTYENARHNVAPNPPPAESFEPGLHIDEYYRYAEPSWDERKINNVNQHFITAFLGIHLKQKDYSKFLELQENSNEKDWTGFKARSSTGMELLHDKPAP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inlineStr">
        <is>
          <t>PET94</t>
        </is>
      </c>
      <c r="Z168" s="5" t="inlineStr">
        <is>
          <t>WKW63608.1</t>
        </is>
      </c>
      <c r="AA168" s="5" t="inlineStr">
        <is>
          <t>Direct</t>
        </is>
      </c>
      <c r="AB168" s="5" t="n">
        <v>496</v>
      </c>
      <c r="AC168" s="5" t="inlineStr">
        <is>
          <t>10.1128/aem.01698-25</t>
        </is>
      </c>
      <c r="AD168" s="5" t="inlineStr">
        <is>
          <t>MPILNRFAHFQLILCFLISNLVLNAQTGSFVYGDALPDAPELSARGSYAVGVRTLDFVNKGQADVLNSKNGIDPIYDRPLKVEVWYPAQLAEGAKETVVYDEVMGTAHDSLRPLTPITFKGRASRDAAPLTTDGSFPLLVVAHGYVGSRYLMTYLTENLASKGYVVVAIDHTDSTFRDASPFASTLVNRAKDISFVLNQTVNLGKAADNNFLAGLVDSENIGIIGYSMGGYGVLNVAGAGYSDGLVGFFSGMTGGSKAIVDLAMSNPDFPKVDPRIKAVVAFAPWGMERGIWDAEGLKGLKVPTFFIAGSQDDISGYEKGIKAIYTGAVNADRYLLTYENARHNVAPNPPPAESFEPGLHIDEYYRYAEPSWDERKINNVNQHFITAFLGIHLKQKDYSKFLELQENSNEKDWTGFKARSSTGMELLHDKPAP</t>
        </is>
      </c>
      <c r="AE168" s="5" t="inlineStr">
        <is>
          <t>Arenibacter palladensis</t>
        </is>
      </c>
      <c r="AF168" s="5" t="n">
        <v>237373</v>
      </c>
      <c r="AG168" s="5" t="inlineStr">
        <is>
          <t>supp_unavailable</t>
        </is>
      </c>
      <c r="AH168" s="5" t="inlineStr">
        <is>
          <t>ncbi</t>
        </is>
      </c>
      <c r="AI168" s="5" t="n"/>
      <c r="AJ168" s="5" t="n"/>
      <c r="AK168" s="5" t="n"/>
      <c r="AL168" s="5" t="n">
        <v>1</v>
      </c>
    </row>
    <row r="169" ht="15" customHeight="1" s="12">
      <c r="A169" s="5" t="inlineStr">
        <is>
          <t>retrieving_only</t>
        </is>
      </c>
      <c r="B169" s="5" t="inlineStr">
        <is>
          <t>MPGIRLLRRAAIACTAAVLASTVAAVPAAAADNPYQRGPNPTRESVAASRGTFATAETSVGGGNGFAAAKIYYPTDTGQGKFGAIAVVPGYTATWAAEGAWMGHWLASFGFVVIGIDTLSRNDWDVARGTQLLAALDYLTQRSSVRDRVDATRLAVMGHSMGGGGAISAALRRPSLKTAIGNAPFSASQNLNNMQIPTALLAGQRDGTTTPSSISGYYNQIPAGVEKMYLELTGAGHGFPTSNNSVMTRKVIPWMKIFIDNDTRYHQFLCPLMDNTGISAYRSTCPLIPGDPTPPSDTYSLVGAASGKCADVEGVSQANGARLLLWTCNGQVNQRWTQTAAGELRVYDNPKCMDAGASAQGTRVTINACNGGNSQKWTVNANGTVTNAASGRCLDAGGTADNSPVVVNTCTGGSSQNWSKRS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>
        <v>1573</v>
      </c>
      <c r="Z169" s="5" t="inlineStr">
        <is>
          <t>WP_109639600.1</t>
        </is>
      </c>
      <c r="AA169" s="5" t="inlineStr">
        <is>
          <t>Direct</t>
        </is>
      </c>
      <c r="AB169" s="5" t="n">
        <v>305</v>
      </c>
      <c r="AC169" s="5" t="inlineStr">
        <is>
          <t>10.1126/science.adp5637</t>
        </is>
      </c>
      <c r="AD169" s="5" t="inlineStr">
        <is>
          <t>MPGIRLLRRAAIACTAAVLASTVAAVPAAAADNPYQRGPNPTRESVAASRGTFATAETSVGGGNGFAAAKIYYPTDTGQGKFGAIAVVPGYTATWAAEGAWMGHWLASFGFVVIGIDTLSRNDWDVARGTQLLAALDYLTQRSSVRDRVDATRLAVMGHSMGGGGAISAALRRPSLKTAIGNAPFSASQNLNNMQIPTALLAGQRDGTTTPSSISGYYNQIPAGVEKMYLELTGAGHGFPTSNNSVMTRKVIPWMKIFIDNDTRYHQFLCPLMDNTGISAYRSTCPLIPGDPTPPSDTYSLVGAASGKCADVEGVSQANGARLLLWTCNGQVNQRWTQTAAGELRVYDNPKCMDAGASAQGTRVTINACNGGNSQKWTVNANGTVTNAASGRCLDAGGTADNSPVVVNTCTGGSSQNWSKRS</t>
        </is>
      </c>
      <c r="AE169" s="5" t="inlineStr">
        <is>
          <t>Lentzea atacamensis</t>
        </is>
      </c>
      <c r="AF169" s="5" t="n">
        <v>531938</v>
      </c>
      <c r="AG169" s="5" t="inlineStr">
        <is>
          <t>supp_unavailable</t>
        </is>
      </c>
      <c r="AH169" s="5" t="inlineStr">
        <is>
          <t>ncbi</t>
        </is>
      </c>
      <c r="AI169" s="5" t="n"/>
      <c r="AJ169" s="5" t="n"/>
      <c r="AK169" s="5" t="n"/>
      <c r="AL169" s="5" t="n">
        <v>1</v>
      </c>
    </row>
    <row r="170" ht="15" customHeight="1" s="12">
      <c r="A170" s="5" t="inlineStr">
        <is>
          <t>retrieving_only</t>
        </is>
      </c>
      <c r="B170" s="5" t="inlineStr">
        <is>
          <t>MPLWSHARPKTALTAVAAFAALTSVTAVGAPAHADTNPFQRGPAPTEASVSAQKGPFATAQVNVPANSGEGFNDGTIYYPTDTSQGTFGAIAVMPGFLSPQDWIRWYGPTLASQGFVVMTLDSKGFIDSPTARGNQLLAALDYLTTKSKVVDRIDTSRLGVVGWSMGGGGALESTYNRPSLKADVALAPWHVGLDQSKITVPSLILADDNDWLAPTGSFAKPFYAGIPESTNKAFIELKNANHFTFTGYNKNIAKYAVSWLKRFVDDDTRYDQFLCPKPATNNEISQSEETCPLH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inlineStr">
        <is>
          <t>DP054</t>
        </is>
      </c>
      <c r="Z170" s="5" t="inlineStr">
        <is>
          <t>WP_161104454.1</t>
        </is>
      </c>
      <c r="AA170" s="5" t="inlineStr">
        <is>
          <t>Direct</t>
        </is>
      </c>
      <c r="AB170" s="5" t="n">
        <v>392</v>
      </c>
      <c r="AC170" s="5" t="inlineStr">
        <is>
          <t>10.1021/acscatal.5c03460</t>
        </is>
      </c>
      <c r="AD170" s="5" t="inlineStr">
        <is>
          <t>MPLWSHARPKTALTAVAAFAALTSVTAVGAPAHADTNPFQRGPAPTEASVSAQKGPFATAQVNVPANSGEGFNDGTIYYPTDTSQGTFGAIAVMPGFLSPQDWIRWYGPTLASQGFVVMTLDSKGFIDSPTARGNQLLAALDYLTTKSKVVDRIDTSRLGVVGWSMGGGGALESTYNRPSLKADVALAPWHVGLDQSKITVPSLILADDNDWLAPTGSFAKPFYAGIPESTNKAFIELKNANHFTFTGYNKNIAKYAVSWLKRFVDDDTRYDQFLCPKPATNNEISQSEETCPLH</t>
        </is>
      </c>
      <c r="AE170" s="5" t="inlineStr">
        <is>
          <t>Actinomadura rayongensis</t>
        </is>
      </c>
      <c r="AF170" s="5" t="n">
        <v>1429076</v>
      </c>
      <c r="AG170" s="5" t="inlineStr">
        <is>
          <t>seq_in_supp</t>
        </is>
      </c>
      <c r="AH170" s="5" t="inlineStr">
        <is>
          <t>ncbi</t>
        </is>
      </c>
      <c r="AI170" s="5" t="n"/>
      <c r="AJ170" s="5" t="n"/>
      <c r="AK170" s="5" t="n"/>
      <c r="AL170" s="5" t="n">
        <v>1</v>
      </c>
    </row>
    <row r="171" ht="15" customHeight="1" s="12">
      <c r="A171" s="5" t="inlineStr">
        <is>
          <t>retrieving_only</t>
        </is>
      </c>
      <c r="B171" s="5" t="inlineStr">
        <is>
          <t>MPTLSRRLAVAAAAVAVVFVSVDASAAENPHQRGPNPTVAALEAAAGPFAVAKVSVPGGHGFGGGTITYPTDTSQGTFGAVAVSPGFIESEGAIAWFGPRLASHGFVVITISTNGLFDQPDARGAQLLAALDYVTKSSAVRDRVDPARLAVMGHSMGGGGALYATAQRPALKASIPLLAWSNTKSWGSVRVPTMVIGAENDFIASVGSHSEPFYQSLGGEKAYLEMNDADHFVTNSPTPTVGKLTVSWLKRFMDNDTRYDQFLCPAPPVGGPISEYRDTCPYI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inlineStr">
        <is>
          <t>DP017</t>
        </is>
      </c>
      <c r="Z171" s="5" t="inlineStr">
        <is>
          <t>WP_187224800.1</t>
        </is>
      </c>
      <c r="AA171" s="5" t="inlineStr">
        <is>
          <t>Direct</t>
        </is>
      </c>
      <c r="AB171" s="5" t="n">
        <v>386</v>
      </c>
      <c r="AC171" s="5" t="inlineStr">
        <is>
          <t>10.1021/acscatal.5c03460</t>
        </is>
      </c>
      <c r="AD171" s="5" t="inlineStr">
        <is>
          <t>MPTLSRRLAVAAAAVAVVFVSVDASAAENPHQRGPNPTVAALEAAAGPFAVAKVSVPGGHGFGGGTITYPTDTSQGTFGAVAVSPGFIESEGAIAWFGPRLASHGFVVITISTNGLFDQPDARGAQLLAALDYVTKSSAVRDRVDPARLAVMGHSMGGGGALYATAQRPALKASIPLLAWSNTKSWGSVRVPTMVIGAENDFIASVGSHSEPFYQSLGGEKAYLEMNDADHFVTNSPTPTVGKLTVSWLKRFMDNDTRYDQFLCPAPPVGGPISEYRDTCPYI</t>
        </is>
      </c>
      <c r="AE171" s="5" t="inlineStr">
        <is>
          <t>Actinokineospora xionganensis</t>
        </is>
      </c>
      <c r="AF171" s="5" t="n">
        <v>2684470</v>
      </c>
      <c r="AG171" s="5" t="inlineStr">
        <is>
          <t>seq_in_supp</t>
        </is>
      </c>
      <c r="AH171" s="5" t="inlineStr">
        <is>
          <t>ncbi</t>
        </is>
      </c>
      <c r="AI171" s="5" t="n"/>
      <c r="AJ171" s="5" t="n"/>
      <c r="AK171" s="5" t="n"/>
      <c r="AL171" s="5" t="n">
        <v>1</v>
      </c>
    </row>
    <row r="172" ht="15" customHeight="1" s="12">
      <c r="A172" s="5" t="inlineStr">
        <is>
          <t>retrieving_only</t>
        </is>
      </c>
      <c r="B172" s="5" t="inlineStr">
        <is>
          <t>MPPQKRGKLMSNLNRRNVLTLGVALGLVSAVGAGAVPALAAPAAAGTDPWWVWDDEVDQLVAGLITSGQVPAVNTAMQSWVNNGDAIPGGLPANLRTYLQGVNTLPSWADRAKLRLAADFNRRKDTYLFMLYGLGSGIMSTVIPREAKSVYWSAGGANMQDRAAKTFTFGYDLSELTAFEPNGQFVVTANKTRLVHAAVRHLLPQSPHWRAVANEPGLIPISNGDILVTFHSLGTFVHKKLKEWKVPMTAAEESAFLHQWQVAMHLLGVRDEFIPQTWAAAYAQSASALSPILAPSTEGKELAEDLLGLTAQIDLGITRGFLNEFVRYVLSNEIGDWLRLPRDYAAAALIRTVWPAFIAFREGLNPIAPVSFYMFDQFIRAIAMLFLNKGASGTTTLITIPTGNRA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inlineStr">
        <is>
          <t>lcp1</t>
        </is>
      </c>
      <c r="Z172" s="5" t="inlineStr">
        <is>
          <t>UFE15762.1</t>
        </is>
      </c>
      <c r="AA172" s="5" t="inlineStr">
        <is>
          <t>Indirect</t>
        </is>
      </c>
      <c r="AB172" s="5" t="n"/>
      <c r="AC172" s="5" t="inlineStr">
        <is>
          <t>10.3389/fmicb.2022.854427</t>
        </is>
      </c>
      <c r="AD172" s="5" t="inlineStr">
        <is>
          <t>MPPQKRGKLMSNLNRRNVLTLGVALGLVSAVGAGAVPALAAPAAAGTDPWWVWDDEVDQLVAGLITSGQVPAVNTAMQSWVNNGDAIPGGLPANLRTYLQGVNTLPSWADRAKLRLAADFNRRKDTYLFMLYGLGSGIMSTVIPREAKSVYWSAGGANMQDRAAKTFTFGYDLSELTAFEPNGQFVVTANKTRLVHAAVRHLLPQSPHWRAVANEPGLIPISNGDILVTFHSLGTFVHKKLKEWKVPMTAAEESAFLHQWQVAMHLLGVRDEFIPQTWAAAYAQSASALSPILAPSTEGKELAEDLLGLTAQIDLGITRGFLNEFVRYVLSNEIGDWLRLPRDYAAAALIRTVWPAFIAFREGLNPIAPVSFYMFDQFIRAIAMLFLNKGASGTTTLITIPTGNRA</t>
        </is>
      </c>
      <c r="AE172" s="5" t="n"/>
      <c r="AF172" s="5" t="n"/>
      <c r="AG172" s="5" t="inlineStr">
        <is>
          <t>supp_unavailable</t>
        </is>
      </c>
      <c r="AH172" s="5" t="inlineStr">
        <is>
          <t>ncbi</t>
        </is>
      </c>
      <c r="AI172" s="5" t="n"/>
      <c r="AJ172" s="5" t="n"/>
      <c r="AK172" s="5" t="n"/>
      <c r="AL172" s="5" t="n">
        <v>1</v>
      </c>
    </row>
    <row r="173" ht="15" customHeight="1" s="12">
      <c r="A173" s="5" t="inlineStr">
        <is>
          <t>retrieving_only</t>
        </is>
      </c>
      <c r="B173" s="5" t="inlineStr">
        <is>
          <t>MPPSKTVHAFSNDILANHDAVALADLIRRREISPAEVTQAAIARAEQVNPALNAIRLETFEAARQQARQPLQGVFAGVPTFIKDNTDLRGLPTSQGSQAVHPRPAKADGAFARQFLQQGVICLGKSQLPEFGLNASTEFLGQPPTRNPWHTDYSSGASSGGSAALVAAGVVPLAHANDGGGSIRIPAAACGLVGLKPTRGRLVDGEAARTLPVNIVSEGVVTRSVRDTAHFYAGAEKYFRNAKLPAIGLVEGPGRKRLRIGVVYDSITGHPSDDDTRRTVGDTARLLAGGHHVTEMALPITPRFIDDFSTYWGMLSFLVSRFGHRILSPDFNADELDNLTKGLAALYRRNALKTPLVLYRLRKTWDDYARVFRDYDIVLSPVLAHSTPELGWLSPEQPFEELFERLLRYVSFTPLNNAAGSPAISLPMGATAQGLPVAVHCSAAHGAERTLLELAFELEQAKPWRRIQDQLEHHHHHH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inlineStr">
        <is>
          <t>pQR3144</t>
        </is>
      </c>
      <c r="Z173" s="5" t="n"/>
      <c r="AA173" s="5" t="inlineStr">
        <is>
          <t>Direct</t>
        </is>
      </c>
      <c r="AB173" s="5" t="n">
        <v>493</v>
      </c>
      <c r="AC173" s="5" t="inlineStr">
        <is>
          <t>10.1039/d5gc03560k</t>
        </is>
      </c>
      <c r="AD173" s="5" t="inlineStr">
        <is>
          <t>MPPSKTVHAFSNDILANHDAVALADLIRRREISPAEVTQAAIARAEQVNPALNAIRLETFEAARQQARQPLQGVFAGVPTFIKDNTDLRGLPTSQGSQAVHPRPAKADGAFARQFLQQGVICLGKSQLPEFGLNASTEFLGQPPTRNPWHTDYSSGASSGGSAALVAAGVVPLAHANDGGGSIRIPAAACGLVGLKPTRGRLVDGEAARTLPVNIVSEGVVTRSVRDTAHFYAGAEKYFRNAKLPAIGLVEGPGRKRLRIGVVYDSITGHPSDDDTRRTVGDTARLLAGGHHVTEMALPITPRFIDDFSTYWGMLSFLVSRFGHRILSPDFNADELDNLTKGLAALYRRNALKTPLVLYRLRKTWDDYARVFRDYDIVLSPVLAHSTPELGWLSPEQPFEELFERLLRYVSFTPLNNAAGSPAISLPMGATAQGLPVAVHCSAAHGAERTLLELAFELEQAKPWRRIQDQLEHHHHHH</t>
        </is>
      </c>
      <c r="AE173" s="5" t="n"/>
      <c r="AF173" s="5" t="n"/>
      <c r="AG173" s="5" t="n"/>
      <c r="AH173" s="5" t="n"/>
      <c r="AI173" s="5" t="n"/>
      <c r="AJ173" s="5" t="n"/>
      <c r="AK173" s="5" t="n"/>
      <c r="AL173" s="5" t="n">
        <v>1</v>
      </c>
    </row>
    <row r="174" ht="15" customHeight="1" s="12">
      <c r="A174" s="5" t="inlineStr">
        <is>
          <t>retrieving_only</t>
        </is>
      </c>
      <c r="B174" s="5" t="inlineStr">
        <is>
          <t>MPTISRADRAASLAFDFPGLRIGTAEYADGPTGCTVLRFDRKARMHVDPRGGAVCYAASSRSIEALGFAGGSVYGLDTLGGIRSALRDDGRNPTDWAQLPLVAGACVYDFVGRATTTTPDHLLGRQACLSAIEGHIPVGRHGAGAHATVGDAISVDRVEWGGQGAAFAQVGDVRVLVVTIVNALGAITDRAGRTVRGNRDPGTGDRADVLTEIRASLESGRTTQPPSGNTTVTALVTNVSLDDHELRDLARAAHTAMARVIRPFHTPFDGDVLFALSTAEISAGTLDPVSMSVLGGEVACDAVLSITDQAVPR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inlineStr">
        <is>
          <t>Nyl54</t>
        </is>
      </c>
      <c r="Z174" s="5" t="inlineStr">
        <is>
          <t>WP_170322449.1</t>
        </is>
      </c>
      <c r="AA174" s="5" t="inlineStr">
        <is>
          <t>Direct</t>
        </is>
      </c>
      <c r="AB174" s="5" t="n">
        <v>363</v>
      </c>
      <c r="AC174" s="5" t="inlineStr">
        <is>
          <t>10.1016/j.checat.2025.101418</t>
        </is>
      </c>
      <c r="AD174" s="5" t="inlineStr">
        <is>
          <t>MPTISRADRAASLAFDFPGLRIGTAEYADGPTGCTVLRFDRKARMHVDPRGGAVCYAASSRSIEALGFAGGSVYGLDTLGGIRSALRDDGRNPTDWAQLPLVAGACVYDFVGRATTTTPDHLLGRQACLSAIEGHIPVGRHGAGAHATVGDAISVDRVEWGGQGAAFAQVGDVRVLVVTIVNALGAITDRAGRTVRGNRDPGTGDRADVLTEIRASLESGRTTQPPSGNTTVTALVTNVSLDDHELRDLARAAHTAMARVIRPFHTPFDGDVLFALSTAEISAGTLDPVSMSVLGGEVACDAVLSITDQAVPR</t>
        </is>
      </c>
      <c r="AE174" s="5" t="inlineStr">
        <is>
          <t>Acrocarpospora macrocephala</t>
        </is>
      </c>
      <c r="AF174" s="5" t="n">
        <v>150177</v>
      </c>
      <c r="AG174" s="5" t="inlineStr">
        <is>
          <t>supp_unavailable</t>
        </is>
      </c>
      <c r="AH174" s="5" t="inlineStr">
        <is>
          <t>ncbi</t>
        </is>
      </c>
      <c r="AI174" s="5" t="n"/>
      <c r="AJ174" s="5" t="n"/>
      <c r="AK174" s="5" t="n"/>
      <c r="AL174" s="5" t="n">
        <v>1</v>
      </c>
    </row>
    <row r="175" ht="15" customHeight="1" s="12">
      <c r="A175" s="5" t="inlineStr">
        <is>
          <t>retrieving_only</t>
        </is>
      </c>
      <c r="B175" s="5" t="inlineStr">
        <is>
          <t>MPTHPPTSPLRRVFSVVTTLASAVVLALSGGLLTAPAAHAAVHGPDPTDALLEASRGPYATAQIDVSALAVSGFGGGTIYYPTTTSEGTFGGVAIAPGYTADKSSLAWLAARLASHGFVVFNIDTLTRLDQPDSRGRQLLAALDYLTQRSSVRSRVDASRLGVMGHSMGGGGTLEAAVSRPSLRAAVPLTPWNLDKTWPEVRTPTLIIGADLDTIAPVLTHAEPFYASLPSTLDKAYLELNNATHFAPNITDTTIGKYAVAWMKRFIDDDTRYNRFLCPGPSWSLSVEEYRSTCPF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inlineStr">
        <is>
          <t>TEP061</t>
        </is>
      </c>
      <c r="Z175" s="5" t="inlineStr">
        <is>
          <t>GGO06455.1</t>
        </is>
      </c>
      <c r="AA175" s="5" t="inlineStr">
        <is>
          <t>Direct</t>
        </is>
      </c>
      <c r="AB175" s="5" t="n">
        <v>459</v>
      </c>
      <c r="AC175" s="5" t="inlineStr">
        <is>
          <t>10.1021/acscatal.5c03460</t>
        </is>
      </c>
      <c r="AD175" s="5" t="inlineStr">
        <is>
          <t>MPTHPPTSPLRRVFSVVTTLASAVVLALSGGLLTAPAAHAAVHGPDPTDALLEASRGPYATAQIDVSALAVSGFGGGTIYYPTTTSEGTFGGVAIAPGYTADKSSLAWLAARLASHGFVVFNIDTLTRLDQPDSRGRQLLAALDYLTQRSSVRSRVDASRLGVMGHSMGGGGTLEAAVSRPSLRAAVPLTPWNLDKTWPEVRTPTLIIGADLDTIAPVLTHAEPFYASLPSTLDKAYLELNNATHFAPNITDTTIGKYAVAWMKRFIDDDTRYNRFLCPGPSWSLSVEEYRSTCPF</t>
        </is>
      </c>
      <c r="AE175" s="5" t="inlineStr">
        <is>
          <t>Microbispora rosea subsp. aerata</t>
        </is>
      </c>
      <c r="AF175" s="5" t="n">
        <v>147065</v>
      </c>
      <c r="AG175" s="5" t="inlineStr">
        <is>
          <t>seq_in_supp</t>
        </is>
      </c>
      <c r="AH175" s="5" t="inlineStr">
        <is>
          <t>ncbi</t>
        </is>
      </c>
      <c r="AI175" s="5" t="n"/>
      <c r="AJ175" s="5" t="n"/>
      <c r="AK175" s="5" t="n"/>
      <c r="AL175" s="5" t="n">
        <v>1</v>
      </c>
    </row>
    <row r="176" ht="15" customHeight="1" s="12">
      <c r="A176" s="5" t="inlineStr">
        <is>
          <t>retrieving_only</t>
        </is>
      </c>
      <c r="B176" s="5" t="inlineStr">
        <is>
          <t>MRGHTPHPPPSRDTHTDRVSLGLRGRLLTLAAAGVAVTLGLFTMAVTTGSASAADNPYQRGPDPTRTSVAAVNGPFANTSVSVPTGYGFNGGRIYYPTDTSQGTFGAIAISPGYTALFSAELAWMGPWLASHGFVVIGIETNSRNDFDTARGTQLLAALDYLTQQSPVRDRVDPNRLAVAGHSMGGGGALSAAIRRPGLKAVVGIAPYSPSSNLANDRVPTMIFAGQADTVVTPSYATGLYNSLPATTESVYLEVAGADHGFMVGRSNPVMIRTMLPFVKMFIDNDARYSQFLCPLLDSSGVVTYRSTCPLLPATPTTPPTTPPTTPPATPTVPPNSASAIVGVQSGRCVDVTNASRANGTRVQLYDCNKQSNQAWTYTSDKQLRVYGDMCLDAAGSGNGAAVQIYSCHGQSNQQWNVNSNGTISGVQSGRCLDVWSTANGAQIQLYDCHGQTNQRFNLVSAG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>
        <v>1628</v>
      </c>
      <c r="Z176" s="5" t="inlineStr">
        <is>
          <t>WP_091553551.1</t>
        </is>
      </c>
      <c r="AA176" s="5" t="inlineStr">
        <is>
          <t>Direct</t>
        </is>
      </c>
      <c r="AB176" s="5" t="n">
        <v>271</v>
      </c>
      <c r="AC176" s="5" t="inlineStr">
        <is>
          <t>10.1126/science.adp5637</t>
        </is>
      </c>
      <c r="AD176" s="5" t="inlineStr">
        <is>
          <t>MRGHTPHPPPSRDTHTDRVSLGLRGRLLTLAAAGVAVTLGLFTMAVTTGSASAADNPYQRGPDPTRTSVAAVNGPFANTSVSVPTGYGFNGGRIYYPTDTSQGTFGAIAISPGYTALFSAELAWMGPWLASHGFVVIGIETNSRNDFDTARGTQLLAALDYLTQQSPVRDRVDPNRLAVAGHSMGGGGALSAAIRRPGLKAVVGIAPYSPSSNLANDRVPTMIFAGQADTVVTPSYATGLYNSLPATTESVYLEVAGADHGFMVGRSNPVMIRTMLPFVKMFIDNDARYSQFLCPLLDSSGVVTYRSTCPLLPATPTTPPTTPPTTPPATPTVPPNSASAIVGVQSGRCVDVTNASRANGTRVQLYDCNKQSNQAWTYTSDKQLRVYGDMCLDAAGSGNGAAVQIYSCHGQSNQQWNVNSNGTISGVQSGRCLDVWSTANGAQIQLYDCHGQTNQRFNLVSAG</t>
        </is>
      </c>
      <c r="AE176" s="5" t="inlineStr">
        <is>
          <t>Micromonospora pattaloongensis</t>
        </is>
      </c>
      <c r="AF176" s="5" t="n">
        <v>405436</v>
      </c>
      <c r="AG176" s="5" t="inlineStr">
        <is>
          <t>supp_unavailable</t>
        </is>
      </c>
      <c r="AH176" s="5" t="inlineStr">
        <is>
          <t>ncbi</t>
        </is>
      </c>
      <c r="AI176" s="5" t="n"/>
      <c r="AJ176" s="5" t="n"/>
      <c r="AK176" s="5" t="n"/>
      <c r="AL176" s="5" t="n">
        <v>1</v>
      </c>
    </row>
    <row r="177" ht="15" customHeight="1" s="12">
      <c r="A177" s="5" t="inlineStr">
        <is>
          <t>retrieving_only</t>
        </is>
      </c>
      <c r="B177" s="5" t="inlineStr">
        <is>
          <t>MPSLPTVTDRPGEKNPVESVTQIPGVFAGHATNEAAGTGCTVICCPAGCTGAVDVRGGAPATRETDLLRPEETVEVLHAVVLSGGSAFGLAAACGVAEELERRGVGLDVGVARVPIVSGACLFDLACGEAGVRPTAEDGRAATCAALDRPGAPLARGNVGAGTGATVGKLAGPGRAMKGGLGEDVERAGELVCAAVAAVNACGDVRDPDTGLPVAGLLAEGGRALASSVEALVEGAAQMPLERTNTTISCVVTNARLTKAQATKVAQMASDAYAHAISPTHTTNDGDTVFVMATGAVEAPVDTVGALATRALGRAIVDGALCATSAYGYPAARDL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inlineStr">
        <is>
          <t>Nyl14</t>
        </is>
      </c>
      <c r="Z177" s="5" t="inlineStr">
        <is>
          <t>A0A1Y4BJH4</t>
        </is>
      </c>
      <c r="AA177" s="5" t="inlineStr">
        <is>
          <t>Direct</t>
        </is>
      </c>
      <c r="AB177" s="5" t="n">
        <v>348</v>
      </c>
      <c r="AC177" s="5" t="inlineStr">
        <is>
          <t>10.1016/j.checat.2025.101418</t>
        </is>
      </c>
      <c r="AD177" s="5" t="inlineStr">
        <is>
          <t>MPSLPTVTDRPGEKNPVESVTQIPGVFAGHATNEAAGTGCTVICCPAGCTGAVDVRGGAPATRETDLLRPEETVEVLHAVVLSGGSAFGLAAACGVAEELERRGVGLDVGVARVPIVSGACLFDLACGEAGVRPTAEDGRAATCAALDRPGAPLARGNVGAGTGATVGKLAGPGRAMKGGLGEDVERAGELVCAAVAAVNACGDVRDPDTGLPVAGLLAEGGRALASSVEALVEGAAQMPLERTNTTISCVVTNARLTKAQATKVAQMASDAYAHAISPTHTTNDGDTVFVMATGAVEAPVDTVGALATRALGRAIVDGALCATSAYGYPAARDL</t>
        </is>
      </c>
      <c r="AE177" s="5" t="inlineStr">
        <is>
          <t>Olsenella sp. An290</t>
        </is>
      </c>
      <c r="AF177" s="5" t="n">
        <v>1965625</v>
      </c>
      <c r="AG177" s="5" t="inlineStr">
        <is>
          <t>supp_unavailable</t>
        </is>
      </c>
      <c r="AH177" s="5" t="inlineStr">
        <is>
          <t>uniparc</t>
        </is>
      </c>
      <c r="AI177" s="5" t="n"/>
      <c r="AJ177" s="5" t="n"/>
      <c r="AK177" s="5" t="n"/>
      <c r="AL177" s="5" t="n">
        <v>1</v>
      </c>
    </row>
    <row r="178" ht="15" customHeight="1" s="12">
      <c r="A178" s="5" t="inlineStr">
        <is>
          <t>retrieving_only</t>
        </is>
      </c>
      <c r="B178" s="5" t="inlineStr">
        <is>
          <t>MRGHTPHPTPSGDTHADRRSPGFRGGLFKLAAAGIAAAVGLFAMAVTTGSASAADNPYQRGPDPTRTSVAAVNGPFANTSVSVPTGYGFNGGRIYYPTDTSQGTFGAIAISPGYTALFSAELAWMGPWLASHGFVVIGIETNSRNDFDTARGTQLLAALDYLTQQSPVRDRVDPNRLAVSGHSMGGGGALSAAIRRSSLKAVVGIAPYSPSSNLANDRVPTMIFSGQADTVVTPSYATGLYNSLPATTESVYLEVAGADHGFMVGRSNPVMIRTMLPFVKMFIDNDTRYSQFLCPLLDSSGVVTYRSTCPLLPPAPTTPPPTGTPTPTPSSNPTTPPTTPPSTPTA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inlineStr">
        <is>
          <t>ESM061</t>
        </is>
      </c>
      <c r="Z178" s="5" t="inlineStr">
        <is>
          <t>MBF9135495.1</t>
        </is>
      </c>
      <c r="AA178" s="5" t="inlineStr">
        <is>
          <t>Direct</t>
        </is>
      </c>
      <c r="AB178" s="5" t="n">
        <v>422</v>
      </c>
      <c r="AC178" s="5" t="inlineStr">
        <is>
          <t>10.1021/acscatal.5c03460</t>
        </is>
      </c>
      <c r="AD178" s="5" t="inlineStr">
        <is>
          <t>MRGHTPHPTPSGDTHADRRSPGFRGGLFKLAAAGIAAAVGLFAMAVTTGSASAADNPYQRGPDPTRTSVAAVNGPFANTSVSVPTGYGFNGGRIYYPTDTSQGTFGAIAISPGYTALFSAELAWMGPWLASHGFVVIGIETNSRNDFDTARGTQLLAALDYLTQQSPVRDRVDPNRLAVSGHSMGGGGALSAAIRRSSLKAVVGIAPYSPSSNLANDRVPTMIFSGQADTVVTPSYATGLYNSLPATTESVYLEVAGADHGFMVGRSNPVMIRTMLPFVKMFIDNDTRYSQFLCPLLDSSGVVTYRSTCPLLPPAPTTPPPTGTPTPTPSSNPTTPPTTPPSTPTA</t>
        </is>
      </c>
      <c r="AE178" s="5" t="inlineStr">
        <is>
          <t>Plantactinospora alkalitolerans</t>
        </is>
      </c>
      <c r="AF178" s="5" t="n">
        <v>2789879</v>
      </c>
      <c r="AG178" s="5" t="inlineStr">
        <is>
          <t>seq_in_supp</t>
        </is>
      </c>
      <c r="AH178" s="5" t="inlineStr">
        <is>
          <t>ncbi</t>
        </is>
      </c>
      <c r="AI178" s="5" t="n"/>
      <c r="AJ178" s="5" t="n"/>
      <c r="AK178" s="5" t="n"/>
      <c r="AL178" s="5" t="n">
        <v>1</v>
      </c>
    </row>
    <row r="179" ht="15" customHeight="1" s="12">
      <c r="A179" s="5" t="inlineStr">
        <is>
          <t>retrieving_only</t>
        </is>
      </c>
      <c r="B179" s="5" t="inlineStr">
        <is>
          <t>MRGHTPHPTPSGDTHADRRSPGFRGRLFTLTAAGIVAAVGLFAMVVTTGSASAADNPYQRGPDPTRTSVTAERGPFANTSVSVPTGYGFNGGRIYYPTDTSQGTFGAIAISPGYTALFSAELAWMGPWLASHGFVVIGIETNSRNDFDTARGTQLLAALDYLTQQSPVRDRVDPNRLAVSGHSMGGGGALSAAIRRSSLKAVVGIAPYSPSSNLANDRVPTMIFSGQADTVVTPSYATGLYNSLPATTESVYLEVAGADHGFMVGRSNPVMIRTMLPFVKMFIDNDARYSQFLCPLLDSSGVVTYRSTCPLLPPPATGTPTPTPSGNPTTPPTTPPSTPTAPPGSASEIVGAQSNRCIDAPSRNNGTRVQLYDCNRQSNQLWTYTSGKQLQVSGNMCLDAAGSGNGAAVQIYSCHSQTNQQWNVNSNGTISGVQSGRCLDVWSTANGAQVQLYDCHGQTNQQFRLVSR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>
        <v>1625</v>
      </c>
      <c r="Z179" s="5" t="inlineStr">
        <is>
          <t>WP_101366623.1</t>
        </is>
      </c>
      <c r="AA179" s="5" t="inlineStr">
        <is>
          <t>Direct</t>
        </is>
      </c>
      <c r="AB179" s="5" t="n">
        <v>273</v>
      </c>
      <c r="AC179" s="5" t="inlineStr">
        <is>
          <t>10.1126/science.adp5637</t>
        </is>
      </c>
      <c r="AD179" s="5" t="inlineStr">
        <is>
          <t>MRGHTPHPTPSGDTHADRRSPGFRGRLFTLTAAGIVAAVGLFAMVVTTGSASAADNPYQRGPDPTRTSVTAERGPFANTSVSVPTGYGFNGGRIYYPTDTSQGTFGAIAISPGYTALFSAELAWMGPWLASHGFVVIGIETNSRNDFDTARGTQLLAALDYLTQQSPVRDRVDPNRLAVSGHSMGGGGALSAAIRRSSLKAVVGIAPYSPSSNLANDRVPTMIFSGQADTVVTPSYATGLYNSLPATTESVYLEVAGADHGFMVGRSNPVMIRTMLPFVKMFIDNDARYSQFLCPLLDSSGVVTYRSTCPLLPPPATGTPTPTPSGNPTTPPTTPPSTPTAPPGSASEIVGAQSNRCIDAPSRNNGTRVQLYDCNRQSNQLWTYTSGKQLQVSGNMCLDAAGSGNGAAVQIYSCHSQTNQQWNVNSNGTISGVQSGRCLDVWSTANGAQVQLYDCHGQTNQQFRLVSR</t>
        </is>
      </c>
      <c r="AE179" s="5" t="inlineStr">
        <is>
          <t>Plantactinospora sp. CNZ320</t>
        </is>
      </c>
      <c r="AF179" s="5" t="n">
        <v>2035246</v>
      </c>
      <c r="AG179" s="5" t="inlineStr">
        <is>
          <t>supp_unavailable</t>
        </is>
      </c>
      <c r="AH179" s="5" t="inlineStr">
        <is>
          <t>ncbi</t>
        </is>
      </c>
      <c r="AI179" s="5" t="n"/>
      <c r="AJ179" s="5" t="n"/>
      <c r="AK179" s="5" t="n"/>
      <c r="AL179" s="5" t="n">
        <v>1</v>
      </c>
    </row>
    <row r="180" ht="15" customHeight="1" s="12">
      <c r="A180" s="5" t="inlineStr">
        <is>
          <t>retrieving_only</t>
        </is>
      </c>
      <c r="B180" s="5" t="inlineStr">
        <is>
          <t>MRGHVPHSPPPEQPHPARVSPRRRGRLFTLVTAGIAAAVAGLFTMTVATGTASAADNPYQRGPDPTRSSVAAVNGPFANTSVAVPTGYGFNGGRIYYPTDTSQGTFGAVAISPGYTALFSVELAWMGPWLASHGFVVIGIETNSRNDFDTARGTQLLAALDYLVQQSPVRDRIDPNRLAVSGHSMGGGGALSAALRRPALKAAVGIAPYSPSSNLANDRVPTMVFAGQADTVVTPSYATGLYNSLPTTTESAYLEVAGADHGFMVGRSNPVLIRTMLPFLKMFVDNDARYSQFLCPLADNSGVVSYRSTCPLLPPTSTTPPPIPSDTPPPIPTTPPQTTPPPSNPPGAASLIVGAQSNRCLDVPNASRANGTRVQLWDCNRGTNQSWTYTTNKQLRVYGDMCLDAAGSGNGAAVQIYGCHSQTNQQWNVNANGTISSVQSGRCLDVWSTANGAQVQLYDCHGQTNQRFTLTPLT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inlineStr">
        <is>
          <t>ESM101</t>
        </is>
      </c>
      <c r="Z180" s="5" t="inlineStr">
        <is>
          <t>MBW4703769.1</t>
        </is>
      </c>
      <c r="AA180" s="5" t="inlineStr">
        <is>
          <t>Direct</t>
        </is>
      </c>
      <c r="AB180" s="5" t="n">
        <v>436</v>
      </c>
      <c r="AC180" s="5" t="inlineStr">
        <is>
          <t>10.1021/acscatal.5c03460</t>
        </is>
      </c>
      <c r="AD180" s="5" t="inlineStr">
        <is>
          <t>MRGHVPHSPPPEQPHPARVSPRRRGRLFTLVTAGIAAAVAGLFTMTVATGTASAADNPYQRGPDPTRSSVAAVNGPFANTSVAVPTGYGFNGGRIYYPTDTSQGTFGAVAISPGYTALFSVELAWMGPWLASHGFVVIGIETNSRNDFDTARGTQLLAALDYLVQQSPVRDRIDPNRLAVSGHSMGGGGALSAALRRPALKAAVGIAPYSPSSNLANDRVPTMVFAGQADTVVTPSYATGLYNSLPTTTESAYLEVAGADHGFMVGRSNPVLIRTMLPFLKMFVDNDARYSQFLCPLADNSGVVSYRSTCPLLPPTSTTPPPIPSDTPPPIPTTPPQTTPPPSNPPGAASLIVGAQSNRCLDVPNASRANGTRVQLWDCNRGTNQSWTYTTNKQLRVYGDMCLDAAGSGNGAAVQIYGCHSQTNQQWNVNANGTISSVQSGRCLDVWSTANGAQVQLYDCHGQTNQRFTLTPLT</t>
        </is>
      </c>
      <c r="AE180" s="5" t="inlineStr">
        <is>
          <t>Micromonospora sp. RL09-050-HVF-A</t>
        </is>
      </c>
      <c r="AF180" s="5" t="n">
        <v>1703433</v>
      </c>
      <c r="AG180" s="5" t="inlineStr">
        <is>
          <t>seq_in_supp</t>
        </is>
      </c>
      <c r="AH180" s="5" t="inlineStr">
        <is>
          <t>ncbi</t>
        </is>
      </c>
      <c r="AI180" s="5" t="n"/>
      <c r="AJ180" s="5" t="n"/>
      <c r="AK180" s="5" t="n"/>
      <c r="AL180" s="5" t="n">
        <v>1</v>
      </c>
    </row>
    <row r="181" ht="15" customHeight="1" s="12">
      <c r="A181" s="5" t="inlineStr">
        <is>
          <t>retrieving_only</t>
        </is>
      </c>
      <c r="B181" s="5" t="inlineStr">
        <is>
          <t>MRGPADHLPPTGNTQADRVSTGLRGRLFKLAAAGIAAAVGLLTITVATGSASAADNPYQRGPDPTRTSVTAVNGPFANTSVSVPTGYGFNGGRIYYPTDTSQGTFGAIAISPGYTALFSAELAWMGPWLASHGFVVIGIETNSRNDFDTARGTQLLAALDYLTQQSPVRDRVDPTRLAVAGHSMGGGGALSAAIRRSSLKAVVGIAPYSPSSNLANDRVPTMIFSGQADTVVTPSYATGLYNSLPSTTESVYLEVAGADHGFMVGRSNPVMVRTMLPFVKMFVDNDARYSQFLCPLLDNSGVVTYRSTCPLLPSTPTTPTPTPTDPTTPTPTPTVPPGSASQIVGTQSGRCIDVPNASRTNGTRVQLYDCNRQTNQAWTYTSGKQLQVYGNMCLDAAGTGNGAAVQIYSCHSQTNQQWNVNSNGTISNVQSGRCLDVWSTANGAQIQLYDCHSQTNQQFRVTPLA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inlineStr">
        <is>
          <t>ESM062</t>
        </is>
      </c>
      <c r="Z181" s="5" t="inlineStr">
        <is>
          <t>TWG17167.1</t>
        </is>
      </c>
      <c r="AA181" s="5" t="inlineStr">
        <is>
          <t>Direct</t>
        </is>
      </c>
      <c r="AB181" s="5" t="n">
        <v>423</v>
      </c>
      <c r="AC181" s="5" t="inlineStr">
        <is>
          <t>10.1021/acscatal.5c03460</t>
        </is>
      </c>
      <c r="AD181" s="5" t="inlineStr">
        <is>
          <t>MRGPADHLPPTGNTQADRVSTGLRGRLFKLAAAGIAAAVGLLTITVATGSASAADNPYQRGPDPTRTSVTAVNGPFANTSVSVPTGYGFNGGRIYYPTDTSQGTFGAIAISPGYTALFSAELAWMGPWLASHGFVVIGIETNSRNDFDTARGTQLLAALDYLTQQSPVRDRVDPTRLAVAGHSMGGGGALSAAIRRSSLKAVVGIAPYSPSSNLANDRVPTMIFSGQADTVVTPSYATGLYNSLPSTTESVYLEVAGADHGFMVGRSNPVMVRTMLPFVKMFVDNDARYSQFLCPLLDNSGVVTYRSTCPLLPSTPTTPTPTPTDPTTPTPTPTVPPGSASQIVGTQSGRCIDVPNASRTNGTRVQLYDCNRQTNQAWTYTSGKQLQVYGNMCLDAAGTGNGAAVQIYSCHSQTNQQWNVNSNGTISNVQSGRCLDVWSTANGAQIQLYDCHSQTNQQFRVTPLA</t>
        </is>
      </c>
      <c r="AE181" s="5" t="inlineStr">
        <is>
          <t>Micromonospora taraxaci</t>
        </is>
      </c>
      <c r="AF181" s="5" t="n">
        <v>1316803</v>
      </c>
      <c r="AG181" s="5" t="inlineStr">
        <is>
          <t>seq_in_supp</t>
        </is>
      </c>
      <c r="AH181" s="5" t="inlineStr">
        <is>
          <t>ncbi</t>
        </is>
      </c>
      <c r="AI181" s="5" t="n"/>
      <c r="AJ181" s="5" t="n"/>
      <c r="AK181" s="5" t="n"/>
      <c r="AL181" s="5" t="n">
        <v>1</v>
      </c>
    </row>
    <row r="182" ht="15" customHeight="1" s="12">
      <c r="A182" s="5" t="inlineStr">
        <is>
          <t>retrieving_only</t>
        </is>
      </c>
      <c r="B182" s="5" t="inlineStr">
        <is>
          <t>MPRTAVSAKLSGSGQRPRRTHGSLGRLFRRTSTTLVAVTAVVASVISTAPASAADNPYERGPNPTQASIAASRGTFATAEVSVGGGNGFAAAKIYYPTDTSQGTFGAIAIVPGYTATWAAEGAWMGPWLASFGFVVIGIDTLSRNDFDTARGTQLLAALDYLTQRSSVRSRVDASRLAVMGHSMGGGGAISAALRRPSLKAAVGLAPFSPSQGTSGMRVPSMLLAGQRDGTVTPSSVRNLYNAIPATTEKAYLELTGAGHGFPTSANSVMMRKVIPWLKIFVDQDTRYQQFLCPLVDWTGITSYQSSCPLIPGGSTGTTYNLVNSSGKCADVNAASQVNGAALLLWTCHTNPNQRWTETSAKELRVYDNPKCMDAGAAQQGTRVTINSCSGGGSQKWTVNANGTVTNDLSGRCLGAAGGATTDNTPLVVASCDGSPGQQWTKQS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>
        <v>1468</v>
      </c>
      <c r="Z182" s="5" t="inlineStr">
        <is>
          <t>WP_132413760.1</t>
        </is>
      </c>
      <c r="AA182" s="5" t="inlineStr">
        <is>
          <t>Direct</t>
        </is>
      </c>
      <c r="AB182" s="5" t="n">
        <v>285</v>
      </c>
      <c r="AC182" s="5" t="inlineStr">
        <is>
          <t>10.1126/science.adp5637</t>
        </is>
      </c>
      <c r="AD182" s="5" t="inlineStr">
        <is>
          <t>MPRTAVSAKLSGSGQRPRRTHGSLGRLFRRTSTTLVAVTAVVASVISTAPASAADNPYERGPNPTQASIAASRGTFATAEVSVGGGNGFAAAKIYYPTDTSQGTFGAIAIVPGYTATWAAEGAWMGPWLASFGFVVIGIDTLSRNDFDTARGTQLLAALDYLTQRSSVRSRVDASRLAVMGHSMGGGGAISAALRRPSLKAAVGLAPFSPSQGTSGMRVPSMLLAGQRDGTVTPSSVRNLYNAIPATTEKAYLELTGAGHGFPTSANSVMMRKVIPWLKIFVDQDTRYQQFLCPLVDWTGITSYQSSCPLIPGGSTGTTYNLVNSSGKCADVNAASQVNGAALLLWTCHTNPNQRWTETSAKELRVYDNPKCMDAGAAQQGTRVTINSCSGGGSQKWTVNANGTVTNDLSGRCLGAAGGATTDNTPLVVASCDGSPGQQWTKQS</t>
        </is>
      </c>
      <c r="AE182" s="5" t="inlineStr">
        <is>
          <t>Kribbella albertanoniae</t>
        </is>
      </c>
      <c r="AF182" s="5" t="n">
        <v>1266829</v>
      </c>
      <c r="AG182" s="5" t="inlineStr">
        <is>
          <t>supp_unavailable</t>
        </is>
      </c>
      <c r="AH182" s="5" t="inlineStr">
        <is>
          <t>ncbi</t>
        </is>
      </c>
      <c r="AI182" s="5" t="n"/>
      <c r="AJ182" s="5" t="n"/>
      <c r="AK182" s="5" t="n"/>
      <c r="AL182" s="5" t="n">
        <v>1</v>
      </c>
    </row>
    <row r="183" ht="15" customHeight="1" s="12">
      <c r="A183" s="5" t="inlineStr">
        <is>
          <t>retrieving_only</t>
        </is>
      </c>
      <c r="B183" s="5" t="inlineStr">
        <is>
          <t>MRGMRKPGGLRRRVRTAIVGATAVALCLTGASLTTSAAQAQSSNPYQRGPAPTERSIEASRGPFAVAQTTVSRLSATGFGGGTIYYPTDTSQGRFGGVAISPGFTALQSSIAWLGPRIASQGFIVFTIDTITTLDQPAQRGDQLLAALDYLVQRSPAAVRDRLDPTRLAVMGHSMGGGGTLEAAKKRPSLKAAIPLTGWNLDTIWNDLRVPTLVVGAQLDLIAPILTFSLPFYNTIPASTEKVYLELAGASHFAPNLPDTNIAKYSIAWLKRWVDNDTRYTQFLCPGPRFELAISNYMSSCPM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inlineStr">
        <is>
          <t>DP056</t>
        </is>
      </c>
      <c r="Z183" s="5" t="inlineStr">
        <is>
          <t>MGYP001489421514</t>
        </is>
      </c>
      <c r="AA183" s="5" t="inlineStr">
        <is>
          <t>Direct</t>
        </is>
      </c>
      <c r="AB183" s="5" t="n">
        <v>393</v>
      </c>
      <c r="AC183" s="5" t="inlineStr">
        <is>
          <t>10.1021/acscatal.5c03460</t>
        </is>
      </c>
      <c r="AD183" s="5" t="inlineStr">
        <is>
          <t>MRGMRKPGGLRRRVRTAIVGATAVALCLTGASLTTSAAQAQSSNPYQRGPAPTERSIEASRGPFAVAQTTVSRLSATGFGGGTIYYPTDTSQGRFGGVAISPGFTALQSSIAWLGPRIASQGFIVFTIDTITTLDQPAQRGDQLLAALDYLVQRSPAAVRDRLDPTRLAVMGHSMGGGGTLEAAKKRPSLKAAIPLTGWNLDTIWNDLRVPTLVVGAQLDLIAPILTFSLPFYNTIPASTEKVYLELAGASHFAPNLPDTNIAKYSIAWLKRWVDNDTRYTQFLCPGPRFELAISNYMSSCPM</t>
        </is>
      </c>
      <c r="AE183" s="5" t="inlineStr">
        <is>
          <t>Compost metagenome</t>
        </is>
      </c>
      <c r="AF183" s="5" t="n"/>
      <c r="AG183" s="5" t="inlineStr">
        <is>
          <t>acc_in_supp</t>
        </is>
      </c>
      <c r="AH183" s="5" t="inlineStr">
        <is>
          <t>mgnify</t>
        </is>
      </c>
      <c r="AI183" s="5" t="n"/>
      <c r="AJ183" s="5" t="n"/>
      <c r="AK183" s="5" t="n"/>
      <c r="AL183" s="5" t="n">
        <v>1</v>
      </c>
    </row>
    <row r="184" ht="15" customHeight="1" s="12">
      <c r="A184" s="5" t="inlineStr">
        <is>
          <t>retrieving_only</t>
        </is>
      </c>
      <c r="B184" s="5" t="inlineStr">
        <is>
          <t>MRRLWTIASVAALLCGAGVAVALEASAADNPYQRGPDPTPQSISAPTGPFATASVTVPRQGNFGGGVIYYPTDTSQGTFGAVAISPGLNGTWPGIAWLGPRLSSQGFVVFGIDTLGLSDSTASRGSQLLAALDYLTQTSSVRTRVDSSRLAVAGHSMGGGGAFEAALRRPALKAAIPNAPFFPGSASNVRVPTLITAMQNDSLVGQNRNAYNGIPAGVEKAYVELAGAGHNQIGQPTTAIARNWIPWLKIFVDSDARYHQFLCPTTDMSGLSQYLNTCPLISTTPPTSSPSAQPTTPGPTGPPPGGACAATYRTVNSWSDGYQGEMTVQAGSSAINGWTVRWTMSGGQTISQVWNGTLVAGSGAAAVRNVAYNGSLAAGASTTFGFISSGTPSATSITCGSP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inlineStr">
        <is>
          <t>ESM081</t>
        </is>
      </c>
      <c r="Z184" s="5" t="inlineStr">
        <is>
          <t>WP_265247586.1</t>
        </is>
      </c>
      <c r="AA184" s="5" t="inlineStr">
        <is>
          <t>Direct</t>
        </is>
      </c>
      <c r="AB184" s="5" t="n">
        <v>429</v>
      </c>
      <c r="AC184" s="5" t="inlineStr">
        <is>
          <t>10.1021/acscatal.5c03460</t>
        </is>
      </c>
      <c r="AD184" s="5" t="inlineStr">
        <is>
          <t>MRRLWTIASVAALLCGAGVAVALEASAADNPYQRGPDPTPQSISAPTGPFATASVTVPRQGNFGGGVIYYPTDTSQGTFGAVAISPGLNGTWPGIAWLGPRLSSQGFVVFGIDTLGLSDSTASRGSQLLAALDYLTQTSSVRTRVDSSRLAVAGHSMGGGGAFEAALRRPALKAAIPNAPFFPGSASNVRVPTLITAMQNDSLVGQNRNAYNGIPAGVEKAYVELAGAGHNQIGQPTTAIARNWIPWLKIFVDSDARYHQFLCPTTDMSGLSQYLNTCPLISTTPPTSSPSAQPTTPGPTGPPPGGACAATYRTVNSWSDGYQGEMTVQAGSSAINGWTVRWTMSGGQTISQVWNGTLVAGSGAAAVRNVAYNGSLAAGASTTFGFISSGTPSATSITCGSP</t>
        </is>
      </c>
      <c r="AE184" s="5" t="inlineStr">
        <is>
          <t>Micromonospora sp. CPCC 205371</t>
        </is>
      </c>
      <c r="AF184" s="5" t="n">
        <v>2865942</v>
      </c>
      <c r="AG184" s="5" t="inlineStr">
        <is>
          <t>seq_in_supp</t>
        </is>
      </c>
      <c r="AH184" s="5" t="inlineStr">
        <is>
          <t>ncbi</t>
        </is>
      </c>
      <c r="AI184" s="5" t="n"/>
      <c r="AJ184" s="5" t="n"/>
      <c r="AK184" s="5" t="n"/>
      <c r="AL184" s="5" t="n">
        <v>1</v>
      </c>
    </row>
    <row r="185" ht="15" customHeight="1" s="12">
      <c r="A185" s="5" t="inlineStr">
        <is>
          <t>retrieving_only</t>
        </is>
      </c>
      <c r="B185" s="5" t="inlineStr">
        <is>
          <t>MPRPPSEPAPSPTSGVPAPHHRLRHPARGPRGLPLAGAAVGLLLLGSAVAARSALAADNPYQRGPAPTAASISADTGPFATATTVAEGTGFGGATIYYPTDTSQGTFGAIGMLPGWTAPWSAYAWLGPRLASQGFVVIGVDTNDPNDYPAARATQVLAALDHLTESSAVRDRVDPDRLAVAGHSMGGGGSLEAALSRPSLKAVYGIEPYDDITSDFSNLTVPTFIQAGQDDTLVTPSYLESLYATLPSTSEHAYLEIAGADHMFVGSPNVILARTLISWMKIFVDDDTRYTQFLCPLSDDSGVSQYRNTCPLTPGGSTGSPTATAPSPPASSSNPPGTPSSPAPTDGTCRVTYTTNAWDSGLTASVTIANTGTTASTGWSLAFTLPDGQTITSGWNATYSPSSGQVTATGVSHNATIPAGESINIGFQATHTGDTGAPTTFALNGQTCTIT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inlineStr">
        <is>
          <t>DP021</t>
        </is>
      </c>
      <c r="Z185" s="5" t="inlineStr">
        <is>
          <t>MBT8227529.1</t>
        </is>
      </c>
      <c r="AA185" s="5" t="inlineStr">
        <is>
          <t>Direct</t>
        </is>
      </c>
      <c r="AB185" s="5" t="n">
        <v>387</v>
      </c>
      <c r="AC185" s="5" t="inlineStr">
        <is>
          <t>10.1021/acscatal.5c03460</t>
        </is>
      </c>
      <c r="AD185" s="5" t="inlineStr">
        <is>
          <t>MPRPPSEPAPSPTSGVPAPHHRLRHPARGPRGLPLAGAAVGLLLLGSAVAARSALAADNPYQRGPAPTAASISADTGPFATATTVAEGTGFGGATIYYPTDTSQGTFGAIGMLPGWTAPWSAYAWLGPRLASQGFVVIGVDTNDPNDYPAARATQVLAALDHLTESSAVRDRVDPDRLAVAGHSMGGGGSLEAALSRPSLKAVYGIEPYDDITSDFSNLTVPTFIQAGQDDTLVTPSYLESLYATLPSTSEHAYLEIAGADHMFVGSPNVILARTLISWMKIFVDDDTRYTQFLCPLSDDSGVSQYRNTCPLTPGGSTGSPTATAPSPPASSSNPPGTPSSPAPTDGTCRVTYTTNAWDSGLTASVTIANTGTTASTGWSLAFTLPDGQTITSGWNATYSPSSGQVTATGVSHNATIPAGESINIGFQATHTGDTGAPTTFALNGQTCTIT</t>
        </is>
      </c>
      <c r="AE185" s="5" t="inlineStr">
        <is>
          <t>Dactylosporangium sp.</t>
        </is>
      </c>
      <c r="AF185" s="5" t="n">
        <v>60453</v>
      </c>
      <c r="AG185" s="5" t="inlineStr">
        <is>
          <t>seq_in_supp</t>
        </is>
      </c>
      <c r="AH185" s="5" t="inlineStr">
        <is>
          <t>ncbi</t>
        </is>
      </c>
      <c r="AI185" s="5" t="n"/>
      <c r="AJ185" s="5" t="n"/>
      <c r="AK185" s="5" t="n"/>
      <c r="AL185" s="5" t="n">
        <v>1</v>
      </c>
    </row>
    <row r="186" ht="15" customHeight="1" s="12">
      <c r="A186" s="5" t="inlineStr">
        <is>
          <t>retrieving_only</t>
        </is>
      </c>
      <c r="B186" s="5" t="inlineStr">
        <is>
          <t>MPQVSVRRRLTRLVATAFVATALAGGTALGAAAPAYADEIGQAPTSSNITGNGSFSVATYNISSLVSGFGGGVAYYPTTSGRYPVIAVSPGFTARWSSISWIGPRLASWGFVVVGIETNSIYDQPGSRGSQLLAALNWAVNSAPSSVRDRVDGSRRGVAGHSMGGGGTLEALAADTTGLVKAGVPIAPWNTDTTWGGLNEAVQIVGGESDTIAPVSSHSIPFYSTLGGPKSYVELNGASHFFPQTSNSTLSRALVSWFKRYLNNDARFTPFTCGYSGLSISDFRSNNC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inlineStr">
        <is>
          <t>ESM144</t>
        </is>
      </c>
      <c r="Z186" s="5" t="inlineStr">
        <is>
          <t>WP_239125827.1</t>
        </is>
      </c>
      <c r="AA186" s="5" t="inlineStr">
        <is>
          <t>Direct</t>
        </is>
      </c>
      <c r="AB186" s="5" t="n">
        <v>443</v>
      </c>
      <c r="AC186" s="5" t="inlineStr">
        <is>
          <t>10.1021/acscatal.5c03460</t>
        </is>
      </c>
      <c r="AD186" s="5" t="inlineStr">
        <is>
          <t>MPQVSVRRRLTRLVATAFVATALAGGTALGAAAPAYADEIGQAPTSSNITGNGSFSVATYNISSLVSGFGGGVAYYPTTSGRYPVIAVSPGFTARWSSISWIGPRLASWGFVVVGIETNSIYDQPGSRGSQLLAALNWAVNSAPSSVRDRVDGSRRGVAGHSMGGGGTLEALAADTTGLVKAGVPIAPWNTDTTWGGLNEAVQIVGGESDTIAPVSSHSIPFYSTLGGPKSYVELNGASHFFPQTSNSTLSRALVSWFKRYLNNDARFTPFTCGYSGLSISDFRSNNC</t>
        </is>
      </c>
      <c r="AE186" s="5" t="inlineStr">
        <is>
          <t>Catellatospora bangladeshensis</t>
        </is>
      </c>
      <c r="AF186" s="5" t="n">
        <v>310355</v>
      </c>
      <c r="AG186" s="5" t="inlineStr">
        <is>
          <t>seq_in_supp</t>
        </is>
      </c>
      <c r="AH186" s="5" t="inlineStr">
        <is>
          <t>ncbi</t>
        </is>
      </c>
      <c r="AI186" s="5" t="n"/>
      <c r="AJ186" s="5" t="n"/>
      <c r="AK186" s="5" t="n"/>
      <c r="AL186" s="5" t="n">
        <v>1</v>
      </c>
    </row>
    <row r="187" ht="15" customHeight="1" s="12">
      <c r="A187" s="5" t="inlineStr">
        <is>
          <t>retrieving_only</t>
        </is>
      </c>
      <c r="B187" s="5" t="inlineStr">
        <is>
          <t>MPQNGIEHHEPSGSRANRPAVRPSRRLVRRAGVLATVALCALSIVAVIRPASAADNPYQRGPDPTAESVRASRGTFATTQVTVPAGNGFGGGVIYHPTDTSQGTFGAVAIVPGYTATWAAEGAWMGHWLASFGFVVIGVDTINRNDWDTARGTQLLAALDYLTQQSPVRNRVDASRAAVMGHSMGGGGAMSAALRRPSLKAAVGLAPFSPSQNLTNTRVPTMLIAGQNDGTTTPASISTLYNGIPASTESAYLEFAGAGHGFPTSNNPLMMRVVIPWLKIFVDNDTRYSQFLCPLTDRTGITQYRSTCPLTPPGAPTSPPTTTAPPTPTTSPSVTPSTSPSATPTTPAPDGACRATYRTTNSWPGGYQAEVTVTAGNSPINGWTVRWTLGSGQSISQVWNGTLTTSGSAVTVRNVSYNGSLQPGTSTTFGFIGGGTPSTPVLACVSP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>
        <v>1489</v>
      </c>
      <c r="Z187" s="5" t="inlineStr">
        <is>
          <t>WP_132386942.1</t>
        </is>
      </c>
      <c r="AA187" s="5" t="inlineStr">
        <is>
          <t>Direct</t>
        </is>
      </c>
      <c r="AB187" s="5" t="n">
        <v>282</v>
      </c>
      <c r="AC187" s="5" t="inlineStr">
        <is>
          <t>10.1126/science.adp5637</t>
        </is>
      </c>
      <c r="AD187" s="5" t="inlineStr">
        <is>
          <t>MPQNGIEHHEPSGSRANRPAVRPSRRLVRRAGVLATVALCALSIVAVIRPASAADNPYQRGPDPTAESVRASRGTFATTQVTVPAGNGFGGGVIYHPTDTSQGTFGAVAIVPGYTATWAAEGAWMGHWLASFGFVVIGVDTINRNDWDTARGTQLLAALDYLTQQSPVRNRVDASRAAVMGHSMGGGGAMSAALRRPSLKAAVGLAPFSPSQNLTNTRVPTMLIAGQNDGTTTPASISTLYNGIPASTESAYLEFAGAGHGFPTSNNPLMMRVVIPWLKIFVDNDTRYSQFLCPLTDRTGITQYRSTCPLTPPGAPTSPPTTTAPPTPTTSPSVTPSTSPSATPTTPAPDGACRATYRTTNSWPGGYQAEVTVTAGNSPINGWTVRWTLGSGQSISQVWNGTLTTSGSAVTVRNVSYNGSLQPGTSTTFGFIGGGTPSTPVLACVSP</t>
        </is>
      </c>
      <c r="AE187" s="5" t="inlineStr">
        <is>
          <t>Micromonospora sp. KC723</t>
        </is>
      </c>
      <c r="AF187" s="5" t="n">
        <v>2530381</v>
      </c>
      <c r="AG187" s="5" t="inlineStr">
        <is>
          <t>supp_unavailable</t>
        </is>
      </c>
      <c r="AH187" s="5" t="inlineStr">
        <is>
          <t>ncbi</t>
        </is>
      </c>
      <c r="AI187" s="5" t="n"/>
      <c r="AJ187" s="5" t="n"/>
      <c r="AK187" s="5" t="n"/>
      <c r="AL187" s="5" t="n">
        <v>1</v>
      </c>
    </row>
    <row r="188" ht="15" customHeight="1" s="12">
      <c r="A188" s="5" t="inlineStr">
        <is>
          <t>retrieving_only</t>
        </is>
      </c>
      <c r="B188" s="5" t="inlineStr">
        <is>
          <t>MPQHPHTARRGTRRLAGLTAAVAAVVSLTTLSGPGAHAADNPYERGPAPTESSIEATRGPYAVSELSVSSLAVSGFGGGTIYYPTSTADGTFGAVAISPGYTAYQSSIAWLGPRLASQGFVVFTIDTNSTLDQPASRGNQLLAALDYLTQRSAVRGRIDSSRLGVMGHSMGGGGTLEAAKDRPSLQAAVPLTPWNLDKSWPEVRTPTLIFGADGDSIAPVSSHAEPLYSGLPSSLDRAYLELNGATHFTPNSSNTTIAKYSISWLKRFIDNDTRYEQFLCPLPRPSLTIEESRGNCPHTS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inlineStr">
        <is>
          <t>ScPETase</t>
        </is>
      </c>
      <c r="Z188" s="5" t="inlineStr">
        <is>
          <t>WP_142197250.1</t>
        </is>
      </c>
      <c r="AA188" s="5" t="inlineStr">
        <is>
          <t>Direct</t>
        </is>
      </c>
      <c r="AB188" s="5" t="n">
        <v>242</v>
      </c>
      <c r="AC188" s="5" t="inlineStr">
        <is>
          <t>10.1016/j.jhazmat.2024.134532</t>
        </is>
      </c>
      <c r="AD188" s="5" t="inlineStr">
        <is>
          <t>MPQHPHTARRGTRRLAGLTAAVAAVVSLTTLSGPGAHAADNPYERGPAPTESSIEATRGPYAVSELSVSSLAVSGFGGGTIYYPTSTADGTFGAVAISPGYTAYQSSIAWLGPRLASQGFVVFTIDTNSTLDQPASRGNQLLAALDYLTQRSAVRGRIDSSRLGVMGHSMGGGGTLEAAKDRPSLQAAVPLTPWNLDKSWPEVRTPTLIFGADGDSIAPVSSHAEPLYSGLPSSLDRAYLELNGATHFTPNSSNTTIAKYSISWLKRFIDNDTRYEQFLCPLPRPSLTIEESRGNCPHTS</t>
        </is>
      </c>
      <c r="AE188" s="5" t="inlineStr">
        <is>
          <t>Streptomyces calvus</t>
        </is>
      </c>
      <c r="AF188" s="5" t="n">
        <v>67282</v>
      </c>
      <c r="AG188" s="5" t="inlineStr">
        <is>
          <t>supp_unavailable</t>
        </is>
      </c>
      <c r="AH188" s="5" t="inlineStr">
        <is>
          <t>ncbi</t>
        </is>
      </c>
      <c r="AI188" s="5" t="n"/>
      <c r="AJ188" s="5" t="n"/>
      <c r="AK188" s="5" t="n"/>
      <c r="AL188" s="5" t="n">
        <v>1</v>
      </c>
    </row>
    <row r="189" ht="15" customHeight="1" s="12">
      <c r="A189" s="5" t="inlineStr">
        <is>
          <t>retrieving_only</t>
        </is>
      </c>
      <c r="B189" s="5" t="inlineStr">
        <is>
          <t>MPQGVSVQSSLMRAPRGVVAALALAAAVGLTAPAASAHAPADRATGAPAAAAKPRATAGEDLTRNGPFVYTSTTVADASTPGFGAATIYYPTAAGTYGGVAISPGFLETQSAVKWFGPRLASYGFVVIVIDTNSTMDDPDSRGTQLLASLDYLTGSSAVKGKVDASRLAVMGHSMGGGGSLAAAKARPSLKAAIPLTPWHTDKTWPEVTTPTLIVGAENDTIAPVADHAEPFYASLPASSAHAYLELNNVDHSATNSDNPATSVQSVAWLKRFVNGDTAYSSYLCPGPAPSSTVQEYRSSCPF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>
        <v>1240</v>
      </c>
      <c r="Z189" s="5" t="inlineStr">
        <is>
          <t>KNX38636.1</t>
        </is>
      </c>
      <c r="AA189" s="5" t="inlineStr">
        <is>
          <t>Direct</t>
        </is>
      </c>
      <c r="AB189" s="5" t="n">
        <v>310</v>
      </c>
      <c r="AC189" s="5" t="inlineStr">
        <is>
          <t>10.1126/science.adp5637</t>
        </is>
      </c>
      <c r="AD189" s="5" t="inlineStr">
        <is>
          <t>MPQGVSVQSSLMRAPRGVVAALALAAAVGLTAPAASAHAPADRATGAPAAAAKPRATAGEDLTRNGPFVYTSTTVADASTPGFGAATIYYPTAAGTYGGVAISPGFLETQSAVKWFGPRLASYGFVVIVIDTNSTMDDPDSRGTQLLASLDYLTGSSAVKGKVDASRLAVMGHSMGGGGSLAAAKARPSLKAAIPLTPWHTDKTWPEVTTPTLIVGAENDTIAPVADHAEPFYASLPASSAHAYLELNNVDHSATNSDNPATSVQSVAWLKRFVNGDTAYSSYLCPGPAPSSTVQEYRSSCPF</t>
        </is>
      </c>
      <c r="AE189" s="5" t="inlineStr">
        <is>
          <t>Luteipulveratus halotolerans</t>
        </is>
      </c>
      <c r="AF189" s="5" t="n">
        <v>1631356</v>
      </c>
      <c r="AG189" s="5" t="inlineStr">
        <is>
          <t>supp_unavailable</t>
        </is>
      </c>
      <c r="AH189" s="5" t="inlineStr">
        <is>
          <t>ncbi</t>
        </is>
      </c>
      <c r="AI189" s="5" t="n"/>
      <c r="AJ189" s="5" t="n"/>
      <c r="AK189" s="5" t="n"/>
      <c r="AL189" s="5" t="n">
        <v>1</v>
      </c>
    </row>
    <row r="190" ht="15" customHeight="1" s="12">
      <c r="A190" s="5" t="inlineStr">
        <is>
          <t>retrieving_only</t>
        </is>
      </c>
      <c r="B190" s="5" t="inlineStr">
        <is>
          <t>MRRIEVHAGRAGTRSLGQVWRWFAVAVGLAVVTAVAGAVPATAAENPHQPGQVQVAENLYQRGPDPTKQSVTTAGTFATATMNVSEFRKGVIYYPTDTSHGTFGAIAFIPGYNGSWAALEWTGPWLASFGFVVIGFEAANPGDGDAARGTQLLAALDYLTQRSPVRGRIDPNRTAVIGHSMGGGGAMSAASKRPSLKTAIGLAPAIFSTNMKTLKVPAMVMVGQKDTTVSPSYAKNFYNQIPTKKAYVELTGATHGFPSWKPNSVMMRKVVPWFKVFLDNDARYTQFLCPQLDSTGVSAYQSTCPLLPGGSASTSTDHEAVNPAAVHTGAINSHYPG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>
        <v>1718</v>
      </c>
      <c r="Z190" s="5" t="inlineStr">
        <is>
          <t>WP_084578793.1</t>
        </is>
      </c>
      <c r="AA190" s="5" t="inlineStr">
        <is>
          <t>Direct</t>
        </is>
      </c>
      <c r="AB190" s="5" t="n">
        <v>325</v>
      </c>
      <c r="AC190" s="5" t="inlineStr">
        <is>
          <t>10.1126/science.adp5637</t>
        </is>
      </c>
      <c r="AD190" s="5" t="inlineStr">
        <is>
          <t>MRRIEVHAGRAGTRSLGQVWRWFAVAVGLAVVTAVAGAVPATAAENPHQPGQVQVAENLYQRGPDPTKQSVTTAGTFATATMNVSEFRKGVIYYPTDTSHGTFGAIAFIPGYNGSWAALEWTGPWLASFGFVVIGFEAANPGDGDAARGTQLLAALDYLTQRSPVRGRIDPNRTAVIGHSMGGGGAMSAASKRPSLKTAIGLAPAIFSTNMKTLKVPAMVMVGQKDTTVSPSYAKNFYNQIPTKKAYVELTGATHGFPSWKPNSVMMRKVVPWFKVFLDNDARYTQFLCPQLDSTGVSAYQSTCPLLPGGSASTSTDHEAVNPAAVHTGAINSHYPG</t>
        </is>
      </c>
      <c r="AE190" s="5" t="inlineStr">
        <is>
          <t>Kutzneria sp. 744</t>
        </is>
      </c>
      <c r="AF190" s="5" t="n">
        <v>345341</v>
      </c>
      <c r="AG190" s="5" t="inlineStr">
        <is>
          <t>supp_unavailable</t>
        </is>
      </c>
      <c r="AH190" s="5" t="inlineStr">
        <is>
          <t>ncbi</t>
        </is>
      </c>
      <c r="AI190" s="5" t="n"/>
      <c r="AJ190" s="5" t="n"/>
      <c r="AK190" s="5" t="n"/>
      <c r="AL190" s="5" t="n">
        <v>1</v>
      </c>
    </row>
    <row r="191" ht="15" customHeight="1" s="12">
      <c r="A191" s="5" t="inlineStr">
        <is>
          <t>retrieving_only</t>
        </is>
      </c>
      <c r="B191" s="5" t="inlineStr">
        <is>
          <t>YDVRGGDAYYINNSPRCSIGFSVNGGFLTAGHCGPGTVTGSNRVAMGSFARASFPGNDYGHVRVNSNWVPRGIINNGTRVSGSSEASTGASICKSGSTTGWTCGTVGAKNQTVRYAEGTVYGMTATNARSQAGDSGGSFIAGNQAQGMLSGGNSTVTYFFPVRPALSATGTSLVLG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inlineStr">
        <is>
          <t>PLAase III</t>
        </is>
      </c>
      <c r="Z191" s="5" t="inlineStr">
        <is>
          <t>ABY67151.1</t>
        </is>
      </c>
      <c r="AA191" s="5" t="inlineStr">
        <is>
          <t>Direct</t>
        </is>
      </c>
      <c r="AB191" s="5" t="n">
        <v>70</v>
      </c>
      <c r="AC191" s="5" t="inlineStr">
        <is>
          <t>10.1111/j.1574-6968.2008.01109.x</t>
        </is>
      </c>
      <c r="AD191" s="5" t="inlineStr">
        <is>
          <t>YDVRGGDAYYINNSPRCSIGFSVNGGFLTAGHCGPGTVTGSNRVAMGSFARASFPGNDYGHVRVNSNWVPRGIINNGTRVSGSSEASTGASICKSGSTTGWTCGTVGAKNQTVRYAEGTVYGMTATNARSQAGDSGGSFIAGNQAQGMLSGGNSTVTYFFPVRPALSATGTSLVLG</t>
        </is>
      </c>
      <c r="AE191" s="5" t="inlineStr">
        <is>
          <t>Amycolatopsis orientalis</t>
        </is>
      </c>
      <c r="AF191" s="5" t="n">
        <v>31958</v>
      </c>
      <c r="AG191" s="5" t="inlineStr">
        <is>
          <t>supp_unavailable</t>
        </is>
      </c>
      <c r="AH191" s="5" t="inlineStr">
        <is>
          <t>ncbi</t>
        </is>
      </c>
      <c r="AI191" s="5" t="n"/>
      <c r="AJ191" s="5" t="n"/>
      <c r="AK191" s="5" t="n"/>
      <c r="AL191" s="5" t="n">
        <v>1</v>
      </c>
    </row>
    <row r="192" ht="15" customHeight="1" s="12">
      <c r="A192" s="5" t="inlineStr">
        <is>
          <t>retrieving_only</t>
        </is>
      </c>
      <c r="B192" s="5" t="inlineStr">
        <is>
          <t>MSNEETELAPRQPRPSPIRRALGGVAIVLGLLAATTVASPATAASPYQRGPNPTAASIAATTGPFAIASITVPRGNGFGGGVIYYPTSTSQGTFGGIAISPGLNGTWSGISWLGPRLASQGFVVFGIETNNLNDSPTSRGTQLLAALDYLTQRSSVRSRLDANRLAVMGHSMGGGGALDAALRRPTLKATIGNAPHLPSGSLANDRVPTLIYAMQNDTLVTPARLTSLYNTIPAATERAYIEVTGAGHNYIGQPSTTLARTMIPWLKIFIDSDTRYAPFLCPLNDRSGIRQYRNSCPLI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inlineStr">
        <is>
          <t>ESM128</t>
        </is>
      </c>
      <c r="Z192" s="5" t="inlineStr">
        <is>
          <t>WP_269740835.1</t>
        </is>
      </c>
      <c r="AA192" s="5" t="inlineStr">
        <is>
          <t>Direct</t>
        </is>
      </c>
      <c r="AB192" s="5" t="n">
        <v>438</v>
      </c>
      <c r="AC192" s="5" t="inlineStr">
        <is>
          <t>10.1021/acscatal.5c03460</t>
        </is>
      </c>
      <c r="AD192" s="5" t="inlineStr">
        <is>
          <t>MSNEETELAPRQPRPSPIRRALGGVAIVLGLLAATTVASPATAASPYQRGPNPTAASIAATTGPFAIASITVPRGNGFGGGVIYYPTSTSQGTFGGIAISPGLNGTWSGISWLGPRLASQGFVVFGIETNNLNDSPTSRGTQLLAALDYLTQRSSVRSRLDANRLAVMGHSMGGGGALDAALRRPTLKATIGNAPHLPSGSLANDRVPTLIYAMQNDTLVTPARLTSLYNTIPAATERAYIEVTGAGHNYIGQPSTTLARTMIPWLKIFIDSDTRYAPFLCPLNDRSGIRQYRNSCPLI</t>
        </is>
      </c>
      <c r="AE192" s="5" t="inlineStr">
        <is>
          <t>Verrucosispora sp. WMMA2121</t>
        </is>
      </c>
      <c r="AF192" s="5" t="n">
        <v>3015164</v>
      </c>
      <c r="AG192" s="5" t="inlineStr">
        <is>
          <t>seq_in_supp</t>
        </is>
      </c>
      <c r="AH192" s="5" t="inlineStr">
        <is>
          <t>ncbi</t>
        </is>
      </c>
      <c r="AI192" s="5" t="n"/>
      <c r="AJ192" s="5" t="n"/>
      <c r="AK192" s="5" t="n"/>
      <c r="AL192" s="5" t="n">
        <v>1</v>
      </c>
    </row>
    <row r="193" ht="15" customHeight="1" s="12">
      <c r="A193" s="5" t="inlineStr">
        <is>
          <t>retrieving_only</t>
        </is>
      </c>
      <c r="B193" s="5" t="inlineStr">
        <is>
          <t>MSLPALSNDSYALHFPDNPNLVPITEPPKDGRSLDLSDWATFKIGIAEYPSGPTGSTVFIFSGGNAICYPDVRGGSPGTLMAATGGKTDAIVLTGGSCFGLEAATGVTAELLAQQGYTADWQTIPITRSAVVYDLSARPNTIYPDKALGRAAVRAARPGVFPMGRRGAGGAVSVGKMDGRRDMAEWAGQGGAYRNFNGVKIAVFTVVNAVGVIVDRSGTVVRGHFDAKNNRRLSLEEYSTAYASNSTTESVHPRPDGTPRNTTITLFVTNAKFESAFAVEAFKNVVKSVHASMARAIQPFHLLTDGDTFFGVTTNELDVEWTDLPPPAGDNSGRVKMSTQVLSYLGGELAWDAVLNSFDERSSTVG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inlineStr">
        <is>
          <t>Nyl04</t>
        </is>
      </c>
      <c r="Z193" s="5" t="inlineStr">
        <is>
          <t>KXS08985</t>
        </is>
      </c>
      <c r="AA193" s="5" t="inlineStr">
        <is>
          <t>Direct</t>
        </is>
      </c>
      <c r="AB193" s="5" t="n">
        <v>343</v>
      </c>
      <c r="AC193" s="5" t="inlineStr">
        <is>
          <t>10.1016/j.checat.2025.101418</t>
        </is>
      </c>
      <c r="AD193" s="5" t="inlineStr">
        <is>
          <t>MSLPALSNDSYALHFPDNPNLVPITEPPKDGRSLDLSDWATFKIGIAEYPSGPTGSTVFIFSGGNAICYPDVRGGSPGTLMAATGGKTDAIVLTGGSCFGLEAATGVTAELLAQQGYTADWQTIPITRSAVVYDLSARPNTIYPDKALGRAAVRAARPGVFPMGRRGAGGAVSVGKMDGRRDMAEWAGQGGAYRNFNGVKIAVFTVVNAVGVIVDRSGTVVRGHFDAKNNRRLSLEEYSTAYASNSTTESVHPRPDGTPRNTTITLFVTNAKFESAFAVEAFKNVVKSVHASMARAIQPFHLLTDGDTFFGVTTNELDVEWTDLPPPAGDNSGRVKMSTQVLSYLGGELAWDAVLNSFDERSSTVG</t>
        </is>
      </c>
      <c r="AE193" s="5" t="inlineStr">
        <is>
          <t>Gonapodya prolifera</t>
        </is>
      </c>
      <c r="AF193" s="5" t="n">
        <v>1123529</v>
      </c>
      <c r="AG193" s="5" t="inlineStr">
        <is>
          <t>supp_unavailable</t>
        </is>
      </c>
      <c r="AH193" s="5" t="inlineStr">
        <is>
          <t>ncbi</t>
        </is>
      </c>
      <c r="AI193" s="5" t="n"/>
      <c r="AJ193" s="5" t="n"/>
      <c r="AK193" s="5" t="n"/>
      <c r="AL193" s="5" t="n">
        <v>1</v>
      </c>
    </row>
    <row r="194" ht="15" customHeight="1" s="12">
      <c r="A194" s="5" t="inlineStr">
        <is>
          <t>retrieving_only</t>
        </is>
      </c>
      <c r="B194" s="5" t="inlineStr">
        <is>
          <t>MCLYLNIWTPDLNGSLPVMVFIHGGGNQQGSTAQIAGGARIYEGKNLARRGQVVVVTLQYRLGALGYLVHPGLEAESTHGKAGNYGALDQLAALLWIKENIRAFGGDPELVTLFGESAGAVNIGNLLVMPAAKGLFHRAILQSGSPRLKAYSAARNEGIAFAQKLGAAGTPEQQVAHLRTLPVDSLVKGDSNPISGGSMAQGSWQPVLDGYWFPQAPLDAMRSGEHHRVPLIVGSSSDEMSLYVPSVVTPLMLQTFVQTTIPAPYRQQVLALYPPGTTNEQARASYVALVGDPLESTCRHASLEHHHHHH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>
        <v>101</v>
      </c>
      <c r="Z194" s="5" t="n"/>
      <c r="AA194" s="5" t="inlineStr">
        <is>
          <t>Direct</t>
        </is>
      </c>
      <c r="AB194" s="5" t="n">
        <v>132</v>
      </c>
      <c r="AC194" s="5" t="inlineStr">
        <is>
          <t>10.1038/s41467-022-35237-x</t>
        </is>
      </c>
      <c r="AD194" s="5" t="inlineStr">
        <is>
          <t>MCLYLNIWTPDLNGSLPVMVFIHGGGNQQGSTAQIAGGARIYEGKNLARRGQVVVVTLQYRLGALGYLVHPGLEAESTHGKAGNYGALDQLAALLWIKENIRAFGGDPELVTLFGESAGAVNIGNLLVMPAAKGLFHRAILQSGSPRLKAYSAARNEGIAFAQKLGAAGTPEQQVAHLRTLPVDSLVKGDSNPISGGSMAQGSWQPVLDGYWFPQAPLDAMRSGEHHRVPLIVGSSSDEMSLYVPSVVTPLMLQTFVQTTIPAPYRQQVLALYPPGTTNEQARASYVALVGDPLESTCRHASLEHHHHHH</t>
        </is>
      </c>
      <c r="AE194" s="5" t="n"/>
      <c r="AF194" s="5" t="n"/>
      <c r="AG194" s="5" t="n"/>
      <c r="AH194" s="5" t="n"/>
      <c r="AI194" s="5" t="n"/>
      <c r="AJ194" s="5" t="n"/>
      <c r="AK194" s="5" t="n"/>
      <c r="AL194" s="5" t="n">
        <v>1</v>
      </c>
    </row>
    <row r="195" ht="15" customHeight="1" s="12">
      <c r="A195" s="5" t="inlineStr">
        <is>
          <t>retrieving_only</t>
        </is>
      </c>
      <c r="B195" s="5" t="inlineStr">
        <is>
          <t>MAVVLAGVAAAPAAHAAANPYERGPDPTDAILEAARGPFETSRTEVPALSVTGFGGGTIYYPATTSAGTFGGVAVAPGYTADRTSLAWLAERLASHGFVVFNIDTLTRLDQPDSRGRQLLAALDYLTQRSSVRGRLDAGRLGVMGHSMGGGGTLEAARDRPSLQAAVPLTPWDLTKIWSGVRVPTMIVGAEADTIAPVASHAEPFYQSLPSSPGKAYLELNNATHFAPNVPDTTIGKYVVAWMKRFVDDDTRYTRFLCPGPSGGLTVEEYRSTCPFS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inlineStr">
        <is>
          <t>TEP194</t>
        </is>
      </c>
      <c r="Z195" s="5" t="inlineStr">
        <is>
          <t>WP_250563816.1</t>
        </is>
      </c>
      <c r="AA195" s="5" t="inlineStr">
        <is>
          <t>Direct</t>
        </is>
      </c>
      <c r="AB195" s="5" t="n">
        <v>479</v>
      </c>
      <c r="AC195" s="5" t="inlineStr">
        <is>
          <t>10.1021/acscatal.5c03460</t>
        </is>
      </c>
      <c r="AD195" s="5" t="inlineStr">
        <is>
          <t>MAVVLAGVAAAPAAHAAANPYERGPDPTDAILEAARGPFETSRTEVPALSVTGFGGGTIYYPATTSAGTFGGVAVAPGYTADRTSLAWLAERLASHGFVVFNIDTLTRLDQPDSRGRQLLAALDYLTQRSSVRGRLDAGRLGVMGHSMGGGGTLEAARDRPSLQAAVPLTPWDLTKIWSGVRVPTMIVGAEADTIAPVASHAEPFYQSLPSSPGKAYLELNNATHFAPNVPDTTIGKYVVAWMKRFVDDDTRYTRFLCPGPSGGLTVEEYRSTCPFS</t>
        </is>
      </c>
      <c r="AE195" s="5" t="inlineStr">
        <is>
          <t>Sphaerisporangium fuscum</t>
        </is>
      </c>
      <c r="AF195" s="5" t="n">
        <v>2835868</v>
      </c>
      <c r="AG195" s="5" t="inlineStr">
        <is>
          <t>seq_in_supp</t>
        </is>
      </c>
      <c r="AH195" s="5" t="inlineStr">
        <is>
          <t>ncbi</t>
        </is>
      </c>
      <c r="AI195" s="5" t="n"/>
      <c r="AJ195" s="5" t="n"/>
      <c r="AK195" s="5" t="n"/>
      <c r="AL195" s="5" t="n">
        <v>1</v>
      </c>
    </row>
    <row r="196" ht="15" customHeight="1" s="12">
      <c r="A196" s="5" t="inlineStr">
        <is>
          <t>retrieving_only</t>
        </is>
      </c>
      <c r="B196" s="5" t="inlineStr">
        <is>
          <t>MTTPISGQLRRRWALRLTRAATALAAALALVTGTAPAFADEVGQAPTAANIVGDGSFATTSSAITGQSGFGGGTVYYPTTAGRYPVVAVAPGFLSDWNSLNWLGSRVASWGFVVVGVNTNSGFDFPPSRGDQLLAALNWAVGSAPVAVRDKVDGTRRGVAGWSMGGGGTLEALAKDTTGTVKAGVPLAPWHSDKTWEQVSEPVFLVGGQNDTVAAPSSHAIPFYNSLGGQKSYLELAGQAHFFPTTSNPTVSRAIVSWFKRFVSSDNRFTPFTCGYTGSAVSNFRSSAC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>
        <v>1663</v>
      </c>
      <c r="Z196" s="5" t="inlineStr">
        <is>
          <t>WP_084434874.1</t>
        </is>
      </c>
      <c r="AA196" s="5" t="inlineStr">
        <is>
          <t>Direct</t>
        </is>
      </c>
      <c r="AB196" s="5" t="n">
        <v>275</v>
      </c>
      <c r="AC196" s="5" t="inlineStr">
        <is>
          <t>10.1126/science.adp5637</t>
        </is>
      </c>
      <c r="AD196" s="5" t="inlineStr">
        <is>
          <t>MTTPISGQLRRRWALRLTRAATALAAALALVTGTAPAFADEVGQAPTAANIVGDGSFATTSSAITGQSGFGGGTVYYPTTAGRYPVVAVAPGFLSDWNSLNWLGSRVASWGFVVVGVNTNSGFDFPPSRGDQLLAALNWAVGSAPVAVRDKVDGTRRGVAGWSMGGGGTLEALAKDTTGTVKAGVPLAPWHSDKTWEQVSEPVFLVGGQNDTVAAPSSHAIPFYNSLGGQKSYLELAGQAHFFPTTSNPTVSRAIVSWFKRFVSSDNRFTPFTCGYTGSAVSNFRSSAC</t>
        </is>
      </c>
      <c r="AE196" s="5" t="inlineStr">
        <is>
          <t>Kibdelosporangium aridum</t>
        </is>
      </c>
      <c r="AF196" s="5" t="n">
        <v>2030</v>
      </c>
      <c r="AG196" s="5" t="inlineStr">
        <is>
          <t>supp_unavailable</t>
        </is>
      </c>
      <c r="AH196" s="5" t="inlineStr">
        <is>
          <t>ncbi</t>
        </is>
      </c>
      <c r="AI196" s="5" t="n"/>
      <c r="AJ196" s="5" t="n"/>
      <c r="AK196" s="5" t="n"/>
      <c r="AL196" s="5" t="n">
        <v>1</v>
      </c>
    </row>
    <row r="197" ht="15" customHeight="1" s="12">
      <c r="A197" s="5" t="inlineStr">
        <is>
          <t>retrieving_only</t>
        </is>
      </c>
      <c r="B197" s="5" t="inlineStr">
        <is>
          <t>MVAGRRRSWGMRTVVGAAITAAAVAVGMIASSPA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inlineStr">
        <is>
          <t>ESM136</t>
        </is>
      </c>
      <c r="Z197" s="5" t="inlineStr">
        <is>
          <t>GGR16917.1</t>
        </is>
      </c>
      <c r="AA197" s="5" t="inlineStr">
        <is>
          <t>Direct</t>
        </is>
      </c>
      <c r="AB197" s="5" t="n">
        <v>440</v>
      </c>
      <c r="AC197" s="5" t="inlineStr">
        <is>
          <t>10.1021/acscatal.5c03460</t>
        </is>
      </c>
      <c r="AD197" s="5" t="inlineStr">
        <is>
          <t>MVAGRRRSWGMRTVVGAAITAAAVAVGMIASSPA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      </is>
      </c>
      <c r="AE197" s="5" t="inlineStr">
        <is>
          <t>Actinoplanes ianthinogenes</t>
        </is>
      </c>
      <c r="AF197" s="5" t="n">
        <v>122358</v>
      </c>
      <c r="AG197" s="5" t="inlineStr">
        <is>
          <t>seq_in_supp</t>
        </is>
      </c>
      <c r="AH197" s="5" t="inlineStr">
        <is>
          <t>ncbi</t>
        </is>
      </c>
      <c r="AI197" s="5" t="n"/>
      <c r="AJ197" s="5" t="n"/>
      <c r="AK197" s="5" t="n"/>
      <c r="AL197" s="5" t="n">
        <v>1</v>
      </c>
    </row>
    <row r="198" ht="15" customHeight="1" s="12">
      <c r="A198" s="5" t="inlineStr">
        <is>
          <t>retrieving_only</t>
        </is>
      </c>
      <c r="B198" s="5" t="inlineStr">
        <is>
          <t>MAVIAVVLGLVAVTVAAQSASAADNPYQRGPDPTLASVSAQRGTFATAQVAVPAGDGFGGGMIYYPTDTSQGTFGAVAIVPGYTARFSVEEAWMGHWLASFGFVVIGVETNSTNDFDTARGTQLLAALDYLTQRSSVRDRVDASRQSVVGHSMGGGGALYAAGQRASLKAAVGLAPYKPSGNPTNVRVPTMIISGQNDTVVTPSYATGLYNTLPATTESAYMEFTGADHLFPTRANTLEMRILIPWLKIFVDSDNRYSQFLCPLQDSTGIRGYRSTCPFLPNPTTSPSTTAPTTPPTTPPTTPPTGACSATYRTVNSWPGGFQGEVTVSAGSTPVDGWAVRWTLASGQAVTQVWNGALSVSGSAVTVRNTTYNGSLGANASTTFGFLASGSPTPVSLTCTSP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inlineStr">
        <is>
          <t>ESM033</t>
        </is>
      </c>
      <c r="Z198" s="5" t="inlineStr">
        <is>
          <t>GFJ87714.1</t>
        </is>
      </c>
      <c r="AA198" s="5" t="inlineStr">
        <is>
          <t>Direct</t>
        </is>
      </c>
      <c r="AB198" s="5" t="n">
        <v>412</v>
      </c>
      <c r="AC198" s="5" t="inlineStr">
        <is>
          <t>10.1021/acscatal.5c03460</t>
        </is>
      </c>
      <c r="AD198" s="5" t="inlineStr">
        <is>
          <t>MAVIAVVLGLVAVTVAAQSASAADNPYQRGPDPTLASVSAQRGTFATAQVAVPAGDGFGGGMIYYPTDTSQGTFGAVAIVPGYTARFSVEEAWMGHWLASFGFVVIGVETNSTNDFDTARGTQLLAALDYLTQRSSVRDRVDASRQSVVGHSMGGGGALYAAGQRASLKAAVGLAPYKPSGNPTNVRVPTMIISGQNDTVVTPSYATGLYNTLPATTESAYMEFTGADHLFPTRANTLEMRILIPWLKIFVDSDNRYSQFLCPLQDSTGIRGYRSTCPFLPNPTTSPSTTAPTTPPTTPPTTPPTGACSATYRTVNSWPGGFQGEVTVSAGSTPVDGWAVRWTLASGQAVTQVWNGALSVSGSAVTVRNTTYNGSLGANASTTFGFLASGSPTPVSLTCTSP</t>
        </is>
      </c>
      <c r="AE198" s="5" t="inlineStr">
        <is>
          <t>Phytohabitans rumicis</t>
        </is>
      </c>
      <c r="AF198" s="5" t="n">
        <v>1076125</v>
      </c>
      <c r="AG198" s="5" t="inlineStr">
        <is>
          <t>seq_in_supp</t>
        </is>
      </c>
      <c r="AH198" s="5" t="inlineStr">
        <is>
          <t>ncbi</t>
        </is>
      </c>
      <c r="AI198" s="5" t="n"/>
      <c r="AJ198" s="5" t="n"/>
      <c r="AK198" s="5" t="n"/>
      <c r="AL198" s="5" t="n">
        <v>1</v>
      </c>
    </row>
    <row r="199" ht="15" customHeight="1" s="12">
      <c r="A199" s="5" t="inlineStr">
        <is>
          <t>retrieving_only</t>
        </is>
      </c>
      <c r="B199" s="5" t="inlineStr">
        <is>
          <t>MVDITGNGMAATAPTDERIVDKPLPQPQIRSGNVRAMPAARKLAQEHGIDLSTLTGSGPGGVIVKEDVERAITARAVPV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SADNLEHHHHHH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>
        <v>202</v>
      </c>
      <c r="Z199" s="5" t="n"/>
      <c r="AA199" s="5" t="inlineStr">
        <is>
          <t>Direct</t>
        </is>
      </c>
      <c r="AB199" s="5" t="n">
        <v>134</v>
      </c>
      <c r="AC199" s="5" t="inlineStr">
        <is>
          <t>10.1038/s41467-022-35237-x</t>
        </is>
      </c>
      <c r="AD199" s="5" t="inlineStr">
        <is>
          <t>MVDITGNGMAATAPTDERIVDKPLPQPQIRSGNVRAMPAARKLAQEHGIDLSTLTGSGPGGVIVKEDVERAITARAVPV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SADNLEHHHHHH</t>
        </is>
      </c>
      <c r="AE199" s="5" t="n"/>
      <c r="AF199" s="5" t="n"/>
      <c r="AG199" s="5" t="n"/>
      <c r="AH199" s="5" t="n"/>
      <c r="AI199" s="5" t="n"/>
      <c r="AJ199" s="5" t="n"/>
      <c r="AK199" s="5" t="n"/>
      <c r="AL199" s="5" t="n">
        <v>1</v>
      </c>
    </row>
    <row r="200" ht="15" customHeight="1" s="12">
      <c r="A200" s="5" t="inlineStr">
        <is>
          <t>retrieving_only</t>
        </is>
      </c>
      <c r="B200" s="5" t="inlineStr">
        <is>
          <t>MATAFVATALAGGTALGTASPAFADEIGQAPTSSNITGNGSFSVSTYNISSLVSGFGGGVAYYPTTSGRYPVVAVSPGFTARWSSISWIGPRLASWGFVVVGIETNGLYDQPASRGSQLLAALNWAVNSAPSAITSRADGSRRGVAGHSMGGGGTLEALAADTTGNVKAGVPIAPWNSDKTWSGINEAVQIVGGESDTIASVGSHSIPFYNSVSGPKSYVELNGASHFFPQSTNSTLSRALVSWFKRYLNQDARFTPFTCGYGGTAVSDFRTNAC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>
        <v>1507</v>
      </c>
      <c r="Z200" s="5" t="inlineStr">
        <is>
          <t>WP_144126986.1</t>
        </is>
      </c>
      <c r="AA200" s="5" t="inlineStr">
        <is>
          <t>Direct</t>
        </is>
      </c>
      <c r="AB200" s="5" t="n">
        <v>286</v>
      </c>
      <c r="AC200" s="5" t="inlineStr">
        <is>
          <t>10.1126/science.adp5637</t>
        </is>
      </c>
      <c r="AD200" s="5" t="inlineStr">
        <is>
          <t>MATAFVATALAGGTALGTASPAFADEIGQAPTSSNITGNGSFSVSTYNISSLVSGFGGGVAYYPTTSGRYPVVAVSPGFTARWSSISWIGPRLASWGFVVVGIETNGLYDQPASRGSQLLAALNWAVNSAPSAITSRADGSRRGVAGHSMGGGGTLEALAADTTGNVKAGVPIAPWNSDKTWSGINEAVQIVGGESDTIASVGSHSIPFYNSVSGPKSYVELNGASHFFPQSTNSTLSRALVSWFKRYLNQDARFTPFTCGYGGTAVSDFRTNAC</t>
        </is>
      </c>
      <c r="AE200" s="5" t="inlineStr">
        <is>
          <t>Catellatospora sichuanensis</t>
        </is>
      </c>
      <c r="AF200" s="5" t="n">
        <v>1969805</v>
      </c>
      <c r="AG200" s="5" t="inlineStr">
        <is>
          <t>supp_unavailable</t>
        </is>
      </c>
      <c r="AH200" s="5" t="inlineStr">
        <is>
          <t>ncbi</t>
        </is>
      </c>
      <c r="AI200" s="5" t="n"/>
      <c r="AJ200" s="5" t="n"/>
      <c r="AK200" s="5" t="n"/>
      <c r="AL200" s="5" t="n">
        <v>1</v>
      </c>
    </row>
    <row r="201" ht="15" customHeight="1" s="12">
      <c r="A201" s="5" t="inlineStr">
        <is>
          <t>retrieving_only</t>
        </is>
      </c>
      <c r="B201" s="5" t="inlineStr">
        <is>
          <t>MTTHAIHAFTQDALGTDDAVALVQRLKRREVSATELVDAALRRAAQVNPALHAIAFLDEQHAKQHAKHASQGVLAGIPSFIKDNTDVVGWPTRQGSRAVVARPATQHGAFAAQFLAQGLIVLGKSTLPEFGFNASTEPAFAAATANPWDTRYSAGGSSGGAAALVAAGVVPIAHANDGGGSIRIPAACCGLVGLKPTRGRTIPDDRTKILPINIVNDGVLTRSVRDTALFFAGAERHWQNPKLPPIGWVTQPSPERRRIGVVVDSITGRPTDTDTRAAVEHTAVLLEQLGHQVELIPVPASPIFADDFNDYWAFLAFLVSTFGKVNFGREFDALHMDALSHGLVQRFRARGWRLPQVLYRLKQTEAQARRLTAQYDAILSPVLAHTTPRLGHLTPEQTFDELMDKLRHYVSFTPLNNANGTPAISLPLGRTSQGLPIGVQLSAAHGAERILLELALELEEASPWQQLYQQPLIALEHHHHHH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inlineStr">
        <is>
          <t>pQR3139</t>
        </is>
      </c>
      <c r="Z201" s="5" t="n"/>
      <c r="AA201" s="5" t="inlineStr">
        <is>
          <t>Direct</t>
        </is>
      </c>
      <c r="AB201" s="5" t="n">
        <v>491</v>
      </c>
      <c r="AC201" s="5" t="inlineStr">
        <is>
          <t>10.1039/d5gc03560k</t>
        </is>
      </c>
      <c r="AD201" s="5" t="inlineStr">
        <is>
          <t>MTTHAIHAFTQDALGTDDAVALVQRLKRREVSATELVDAALRRAAQVNPALHAIAFLDEQHAKQHAKHASQGVLAGIPSFIKDNTDVVGWPTRQGSRAVVARPATQHGAFAAQFLAQGLIVLGKSTLPEFGFNASTEPAFAAATANPWDTRYSAGGSSGGAAALVAAGVVPIAHANDGGGSIRIPAACCGLVGLKPTRGRTIPDDRTKILPINIVNDGVLTRSVRDTALFFAGAERHWQNPKLPPIGWVTQPSPERRRIGVVVDSITGRPTDTDTRAAVEHTAVLLEQLGHQVELIPVPASPIFADDFNDYWAFLAFLVSTFGKVNFGREFDALHMDALSHGLVQRFRARGWRLPQVLYRLKQTEAQARRLTAQYDAILSPVLAHTTPRLGHLTPEQTFDELMDKLRHYVSFTPLNNANGTPAISLPLGRTSQGLPIGVQLSAAHGAERILLELALELEEASPWQQLYQQPLIALEHHHHHH</t>
        </is>
      </c>
      <c r="AE201" s="5" t="n"/>
      <c r="AF201" s="5" t="n"/>
      <c r="AG201" s="5" t="n"/>
      <c r="AH201" s="5" t="n"/>
      <c r="AI201" s="5" t="n"/>
      <c r="AJ201" s="5" t="n"/>
      <c r="AK201" s="5" t="n"/>
      <c r="AL201" s="5" t="n">
        <v>1</v>
      </c>
    </row>
    <row r="202" ht="15" customHeight="1" s="12">
      <c r="A202" s="5" t="inlineStr">
        <is>
          <t>retrieving_only</t>
        </is>
      </c>
      <c r="B202" s="5" t="inlineStr">
        <is>
          <t>MASSLYSFLLALSIVYIFVAPTHSTSRTALNHRHEAKVTGFQIMLEHVDSGKNLTKFQLLERAIERGSRRLQRLEAMLNGPSGVETSVYAGDGEYLMNLSIGTPAQPFSAIMDTGSDLIWTQCQPCTQCFNQSTPIFNPQGSSSFSTLPCSSQLCQALSSPTCSNNFCQYTYGYGDGSETQGSMGTETLTFGSVSIPNITFGCGENNQGFGQGNGAGLVGMGRGPLSLPSQLDVTKFSYCMTPIGSSTPSNLLLGSLANSVTAGSPNTTLIQSSQIPTFYYITLNGLSVGSTRLPIDPSAFALNSNNGTGGIIIDSGTTLTYFVNNAYQSVRQEFISQINLPVVNGSSSGFDLCFQTPSDPSNLQIPTFVMHFDGGDLELPSENYFISPSNGLICLAMGSSSQGMSIFGNIQQQNMLVVYDTGNSVVSFASAQCGAS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inlineStr">
        <is>
          <t>Nepenthesin-1</t>
        </is>
      </c>
      <c r="Z202" s="5" t="inlineStr">
        <is>
          <t>BAD07474.1</t>
        </is>
      </c>
      <c r="AA202" s="5" t="inlineStr">
        <is>
          <t>Direct</t>
        </is>
      </c>
      <c r="AB202" s="5" t="n">
        <v>342</v>
      </c>
      <c r="AC202" s="5" t="inlineStr">
        <is>
          <t>10.1038/s41598-025-14331-2</t>
        </is>
      </c>
      <c r="AD202" s="5" t="inlineStr">
        <is>
          <t>MASSLYSFLLALSIVYIFVAPTHSTSRTALNHRHEAKVTGFQIMLEHVDSGKNLTKFQLLERAIERGSRRLQRLEAMLNGPSGVETSVYAGDGEYLMNLSIGTPAQPFSAIMDTGSDLIWTQCQPCTQCFNQSTPIFNPQGSSSFSTLPCSSQLCQALSSPTCSNNFCQYTYGYGDGSETQGSMGTETLTFGSVSIPNITFGCGENNQGFGQGNGAGLVGMGRGPLSLPSQLDVTKFSYCMTPIGSSTPSNLLLGSLANSVTAGSPNTTLIQSSQIPTFYYITLNGLSVGSTRLPIDPSAFALNSNNGTGGIIIDSGTTLTYFVNNAYQSVRQEFISQINLPVVNGSSSGFDLCFQTPSDPSNLQIPTFVMHFDGGDLELPSENYFISPSNGLICLAMGSSSQGMSIFGNIQQQNMLVVYDTGNSVVSFASAQCGAS</t>
        </is>
      </c>
      <c r="AE202" s="5" t="inlineStr">
        <is>
          <t>Nepenthes distillatoria</t>
        </is>
      </c>
      <c r="AF202" s="5" t="n">
        <v>122309</v>
      </c>
      <c r="AG202" s="5" t="inlineStr">
        <is>
          <t>supp_unavailable</t>
        </is>
      </c>
      <c r="AH202" s="5" t="inlineStr">
        <is>
          <t>ncbi</t>
        </is>
      </c>
      <c r="AI202" s="5" t="n"/>
      <c r="AJ202" s="5" t="n"/>
      <c r="AK202" s="5" t="n"/>
      <c r="AL202" s="5" t="n">
        <v>1</v>
      </c>
    </row>
    <row r="203" ht="15" customHeight="1" s="12">
      <c r="A203" s="5" t="inlineStr">
        <is>
          <t>retrieving_only</t>
        </is>
      </c>
      <c r="B203" s="5" t="inlineStr">
        <is>
          <t>MARFTQASVLAAAALFAGVASAQYQKGPDPTVAGLERDGTFAIRTTTVSRLSASGFGGGTIYYPTATGSYGVVAVSPGFTAYQSSISWIGSRLASHGFVVITIDTNTTSDQPDSRARQLKAALDKVVSLASSRTNVLYGKVDSSRLAVAGHSMGGGGSLAAARDYPSLKASVPLAPWHTTKSFSTVRVPTLIVGADGDTVASVTSHSIPFYTSIPSSTPKGYLELNNEDHFFPQDSGEYGLVGKYMISWFKRFVDSDTRYSPFLCGAPHQTQIANTLRVSDSRTNCPY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inlineStr">
        <is>
          <t>DP038</t>
        </is>
      </c>
      <c r="Z203" s="5" t="inlineStr">
        <is>
          <t>MBX3624429.1</t>
        </is>
      </c>
      <c r="AA203" s="5" t="inlineStr">
        <is>
          <t>Direct</t>
        </is>
      </c>
      <c r="AB203" s="5" t="n">
        <v>388</v>
      </c>
      <c r="AC203" s="5" t="inlineStr">
        <is>
          <t>10.1021/acscatal.5c03460</t>
        </is>
      </c>
      <c r="AD203" s="5" t="inlineStr">
        <is>
          <t>MARFTQASVLAAAALFAGVASAQYQKGPDPTVAGLERDGTFAIRTTTVSRLSASGFGGGTIYYPTATGSYGVVAVSPGFTAYQSSISWIGSRLASHGFVVITIDTNTTSDQPDSRARQLKAALDKVVSLASSRTNVLYGKVDSSRLAVAGHSMGGGGSLAAARDYPSLKASVPLAPWHTTKSFSTVRVPTLIVGADGDTVASVTSHSIPFYTSIPSSTPKGYLELNNEDHFFPQDSGEYGLVGKYMISWFKRFVDSDTRYSPFLCGAPHQTQIANTLRVSDSRTNCPY</t>
        </is>
      </c>
      <c r="AE203" s="5" t="inlineStr">
        <is>
          <t>Rhizobacter sp.</t>
        </is>
      </c>
      <c r="AF203" s="5" t="n">
        <v>1909292</v>
      </c>
      <c r="AG203" s="5" t="inlineStr">
        <is>
          <t>seq_in_supp</t>
        </is>
      </c>
      <c r="AH203" s="5" t="inlineStr">
        <is>
          <t>ncbi</t>
        </is>
      </c>
      <c r="AI203" s="5" t="n"/>
      <c r="AJ203" s="5" t="n"/>
      <c r="AK203" s="5" t="n"/>
      <c r="AL203" s="5" t="n">
        <v>1</v>
      </c>
    </row>
    <row r="204" ht="15" customHeight="1" s="12">
      <c r="A204" s="5" t="inlineStr">
        <is>
          <t>retrieving_only</t>
        </is>
      </c>
      <c r="B204" s="5" t="inlineStr">
        <is>
          <t>MARAAPISPLQRVNFYSAGYRLDGLLYTPRHLPAGERRPGVVLLVGYTYLKTMVMPDIAKVLNAAGYVALVFDYRGFGESEGPRGRLIPLEQVADARAALTFLAEQSMVDPDRLAVIGISLGGAHAITTAALDQRVRAVVAIEPPGHGAHWLRSLRRHWEWSQFLSRLTEDRRQRVLSGVSSTVDPLEIVLPDPESQAFLDQVAAEFPQMKVTLPLESAEALIEYVPEDLAGRIAPRPLLLEHHHHHH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>
        <v>214</v>
      </c>
      <c r="Z204" s="5" t="n"/>
      <c r="AA204" s="5" t="inlineStr">
        <is>
          <t>Direct</t>
        </is>
      </c>
      <c r="AB204" s="5" t="n">
        <v>137</v>
      </c>
      <c r="AC204" s="5" t="inlineStr">
        <is>
          <t>10.1038/s41467-022-35237-x</t>
        </is>
      </c>
      <c r="AD204" s="5" t="inlineStr">
        <is>
          <t>MARAAPISPLQRVNFYSAGYRLDGLLYTPRHLPAGERRPGVVLLVGYTYLKTMVMPDIAKVLNAAGYVALVFDYRGFGESEGPRGRLIPLEQVADARAALTFLAEQSMVDPDRLAVIGISLGGAHAITTAALDQRVRAVVAIEPPGHGAHWLRSLRRHWEWSQFLSRLTEDRRQRVLSGVSSTVDPLEIVLPDPESQAFLDQVAAEFPQMKVTLPLESAEALIEYVPEDLAGRIAPRPLLLEHHHHHH</t>
        </is>
      </c>
      <c r="AE204" s="5" t="n"/>
      <c r="AF204" s="5" t="n"/>
      <c r="AG204" s="5" t="n"/>
      <c r="AH204" s="5" t="n"/>
      <c r="AI204" s="5" t="n"/>
      <c r="AJ204" s="5" t="n"/>
      <c r="AK204" s="5" t="n"/>
      <c r="AL204" s="5" t="n">
        <v>1</v>
      </c>
    </row>
    <row r="205" ht="15" customHeight="1" s="12">
      <c r="A205" s="5" t="inlineStr">
        <is>
          <t>retrieving_only</t>
        </is>
      </c>
      <c r="B205" s="5" t="inlineStr">
        <is>
          <t>MAPRFRGRLFKLAAAGIAAAVGLFTITVATGSASAADNPYQRGPDPTRTSVTAVNGPFANTSVSVPTGYGFNGGRIYYPTDTSQGTFGAIAISPGYTALFSAELAWMGPWLASHGFVVIGIETNSRNDFDTARGTQLLAALDYLTQQSPVRDRVDPNRLAVAGHSMGGGGALSAATRRPSLKAVVGIAPYSPSSNLANDRVPTMIFAGQADTVVTPSYATGLYNSLPATTESVYVEVAGADHGFMVGRSNPVMVRTMLPFVKMFIDNDTRYSQFLCPLLDSSGVVTYRSTCPLLPSTPTPTDPPTPTDPPTVPPGSANEIVGTQSGRCVDVPNASRTNGTRVQLYGCNKQTNQAWTYTSSKQLQVYGNMCLDAAGTGNGAAVQIYSCHNQTNQQWNVNSNGTISNVQSGRCLDAWSTANGAQIQLYDCHGQTNQQFRLAALAG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inlineStr">
        <is>
          <t>ESM069</t>
        </is>
      </c>
      <c r="Z205" s="5" t="inlineStr">
        <is>
          <t>WP_181548579.1</t>
        </is>
      </c>
      <c r="AA205" s="5" t="inlineStr">
        <is>
          <t>Direct</t>
        </is>
      </c>
      <c r="AB205" s="5" t="n">
        <v>426</v>
      </c>
      <c r="AC205" s="5" t="inlineStr">
        <is>
          <t>10.1021/acscatal.5c03460</t>
        </is>
      </c>
      <c r="AD205" s="5" t="inlineStr">
        <is>
          <t>MAPRFRGRLFKLAAAGIAAAVGLFTITVATGSASAADNPYQRGPDPTRTSVTAVNGPFANTSVSVPTGYGFNGGRIYYPTDTSQGTFGAIAISPGYTALFSAELAWMGPWLASHGFVVIGIETNSRNDFDTARGTQLLAALDYLTQQSPVRDRVDPNRLAVAGHSMGGGGALSAATRRPSLKAVVGIAPYSPSSNLANDRVPTMIFAGQADTVVTPSYATGLYNSLPATTESVYVEVAGADHGFMVGRSNPVMVRTMLPFVKMFIDNDTRYSQFLCPLLDSSGVVTYRSTCPLLPSTPTPTDPPTPTDPPTVPPGSANEIVGTQSGRCVDVPNASRTNGTRVQLYGCNKQTNQAWTYTSSKQLQVYGNMCLDAAGTGNGAAVQIYSCHNQTNQQWNVNSNGTISNVQSGRCLDAWSTANGAQIQLYDCHGQTNQQFRLAALAG</t>
        </is>
      </c>
      <c r="AE205" s="5" t="inlineStr">
        <is>
          <t>Micromonospora saelicesensis</t>
        </is>
      </c>
      <c r="AF205" s="5" t="n">
        <v>285676</v>
      </c>
      <c r="AG205" s="5" t="inlineStr">
        <is>
          <t>seq_in_supp</t>
        </is>
      </c>
      <c r="AH205" s="5" t="inlineStr">
        <is>
          <t>ncbi</t>
        </is>
      </c>
      <c r="AI205" s="5" t="n"/>
      <c r="AJ205" s="5" t="n"/>
      <c r="AK205" s="5" t="n"/>
      <c r="AL205" s="5" t="n">
        <v>1</v>
      </c>
    </row>
    <row r="206" ht="15" customHeight="1" s="12">
      <c r="A206" s="5" t="inlineStr">
        <is>
          <t>retrieving_only</t>
        </is>
      </c>
      <c r="B206" s="5" t="inlineStr">
        <is>
          <t>MVKRIGFAAAIGLVILAVVAPGSAPAAESPYQRGPDPTRESVAASRGTFATAEVSVPAGNGFGGGVIYYPTDTSQGTFGGVAIVPGYTATWAAEGAWMGHWLASFGFVVIGIDTINRNDWDTARGTQLLAALDYLTQRSSVRNRVDANRLAVMGHSMGGGGAMHAALQRPSLKAAIGLAPFSPSQNLTNMRVPTLLVAGQNDTTTTPTSILNLYNGIPATTEKAYLELTGAGHGFPTSANSVMTRKVIPWLKIFVDHDTRYHQFLCPLLDWTGITAYRSSCPLNPPGGPTGSTFSLVGADSGKCVDVPGASRTNGTGLITYTCNGASNQRWTQTAANELRIYDNSKCMEAGTSAGSRAVITSCTGGNGQKWTFNANGTITHAQSGLCLYVNGGSTANQAAVIVWTCHGGSNQVWTRQP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inlineStr">
        <is>
          <t>TEP163</t>
        </is>
      </c>
      <c r="Z206" s="5" t="inlineStr">
        <is>
          <t>WP_218517662.1</t>
        </is>
      </c>
      <c r="AA206" s="5" t="inlineStr">
        <is>
          <t>Direct</t>
        </is>
      </c>
      <c r="AB206" s="5" t="n">
        <v>472</v>
      </c>
      <c r="AC206" s="5" t="inlineStr">
        <is>
          <t>10.1021/acscatal.5c03460</t>
        </is>
      </c>
      <c r="AD206" s="5" t="inlineStr">
        <is>
          <t>MVKRIGFAAAIGLVILAVVAPGSAPAAESPYQRGPDPTRESVAASRGTFATAEVSVPAGNGFGGGVIYYPTDTSQGTFGGVAIVPGYTATWAAEGAWMGHWLASFGFVVIGIDTINRNDWDTARGTQLLAALDYLTQRSSVRNRVDANRLAVMGHSMGGGGAMHAALQRPSLKAAIGLAPFSPSQNLTNMRVPTLLVAGQNDTTTTPTSILNLYNGIPATTEKAYLELTGAGHGFPTSANSVMTRKVIPWLKIFVDHDTRYHQFLCPLLDWTGITAYRSSCPLNPPGGPTGSTFSLVGADSGKCVDVPGASRTNGTGLITYTCNGASNQRWTQTAANELRIYDNSKCMEAGTSAGSRAVITSCTGGNGQKWTFNANGTITHAQSGLCLYVNGGSTANQAAVIVWTCHGGSNQVWTRQP</t>
        </is>
      </c>
      <c r="AE206" s="5" t="inlineStr">
        <is>
          <t>Streptomyces sp. TRM70350</t>
        </is>
      </c>
      <c r="AF206" s="5" t="n">
        <v>2856165</v>
      </c>
      <c r="AG206" s="5" t="inlineStr">
        <is>
          <t>seq_in_supp</t>
        </is>
      </c>
      <c r="AH206" s="5" t="inlineStr">
        <is>
          <t>ncbi</t>
        </is>
      </c>
      <c r="AI206" s="5" t="n"/>
      <c r="AJ206" s="5" t="n"/>
      <c r="AK206" s="5" t="n"/>
      <c r="AL206" s="5" t="n">
        <v>1</v>
      </c>
    </row>
    <row r="207" ht="15" customHeight="1" s="12">
      <c r="A207" s="5" t="inlineStr">
        <is>
          <t>retrieving_only</t>
        </is>
      </c>
      <c r="B207" s="5" t="inlineStr">
        <is>
          <t>MVPRSRTRFLRPAAAAVTVLLGLAGVTLAREARAADNPYQRGPDPTVASVAATNGPFATAQLNVPSGNGFNGGTIYYPTDTSLGTWGAVAIVPGYTARFANEEAWMGPRLASFGFVVIGVETNSTTDWDTARGTQLLAALDYLTQKSSVRDRVDASRLAVIGHSMGGGGVVYAASQRPSLKAAIGLAPYAPSGNLSNVKVPMLIQGGQNDTVVTPSYLDGLYPTLPSSTPGAYVQYSGADHLFWTKANNIELRTQIPWLKIFLDNDTRYTQFMCPTLKDTASVAKYSAKCSLIPSAGSTTAPTTQPATSAPATTSPTTQPPSQPG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inlineStr">
        <is>
          <t>TEP083</t>
        </is>
      </c>
      <c r="Z207" s="5" t="inlineStr">
        <is>
          <t>MBN1171866.1</t>
        </is>
      </c>
      <c r="AA207" s="5" t="inlineStr">
        <is>
          <t>Direct</t>
        </is>
      </c>
      <c r="AB207" s="5" t="n">
        <v>461</v>
      </c>
      <c r="AC207" s="5" t="inlineStr">
        <is>
          <t>10.1021/acscatal.5c03460</t>
        </is>
      </c>
      <c r="AD207" s="5" t="inlineStr">
        <is>
          <t>MVPRSRTRFLRPAAAAVTVLLGLAGVTLAREARAADNPYQRGPDPTVASVAATNGPFATAQLNVPSGNGFNGGTIYYPTDTSLGTWGAVAIVPGYTARFANEEAWMGPRLASFGFVVIGVETNSTTDWDTARGTQLLAALDYLTQKSSVRDRVDASRLAVIGHSMGGGGVVYAASQRPSLKAAIGLAPYAPSGNLSNVKVPMLIQGGQNDTVVTPSYLDGLYPTLPSSTPGAYVQYSGADHLFWTKANNIELRTQIPWLKIFLDNDTRYTQFMCPTLKDTASVAKYSAKCSLIPSAGSTTAPTTQPATSAPATTSPTTQPPSQPG</t>
        </is>
      </c>
      <c r="AE207" s="5" t="inlineStr">
        <is>
          <t>Micromonosporaceae bacterium</t>
        </is>
      </c>
      <c r="AF207" s="5" t="n">
        <v>1873464</v>
      </c>
      <c r="AG207" s="5" t="inlineStr">
        <is>
          <t>seq_in_supp</t>
        </is>
      </c>
      <c r="AH207" s="5" t="inlineStr">
        <is>
          <t>ncbi</t>
        </is>
      </c>
      <c r="AI207" s="5" t="n"/>
      <c r="AJ207" s="5" t="n"/>
      <c r="AK207" s="5" t="n"/>
      <c r="AL207" s="5" t="n">
        <v>1</v>
      </c>
    </row>
    <row r="208" ht="15" customHeight="1" s="12">
      <c r="A208" s="5" t="inlineStr">
        <is>
          <t>retrieving_only</t>
        </is>
      </c>
      <c r="B208" s="5" t="inlineStr">
        <is>
          <t>MVPSAGVGLSGVLHLPAGVSRPVLFLHGFTGNKTESGRLYTDMARVLCSAGYAALRFDFRGHGDSPLPFEEFRISLAVEDARNAAGFLKNVPEVDGTRFGVVGLSMGGGVAVSLAAGREDVGALVLLSPALDWPELFQRARGFFRAEEGYVYWGPHRMRDVYAMETMNFSVMGLAEEIQAPTLIIHSVDDMVVPISQAKRFYEKLKVEKKFIEIEHGGHVFDDYNVRRRIEQEVLDWVKRHLLEHHHHHH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>
        <v>204</v>
      </c>
      <c r="Z208" s="5" t="n"/>
      <c r="AA208" s="5" t="inlineStr">
        <is>
          <t>Direct</t>
        </is>
      </c>
      <c r="AB208" s="5" t="n">
        <v>135</v>
      </c>
      <c r="AC208" s="5" t="inlineStr">
        <is>
          <t>10.1038/s41467-022-35237-x</t>
        </is>
      </c>
      <c r="AD208" s="5" t="inlineStr">
        <is>
          <t>MVPSAGVGLSGVLHLPAGVSRPVLFLHGFTGNKTESGRLYTDMARVLCSAGYAALRFDFRGHGDSPLPFEEFRISLAVEDARNAAGFLKNVPEVDGTRFGVVGLSMGGGVAVSLAAGREDVGALVLLSPALDWPELFQRARGFFRAEEGYVYWGPHRMRDVYAMETMNFSVMGLAEEIQAPTLIIHSVDDMVVPISQAKRFYEKLKVEKKFIEIEHGGHVFDDYNVRRRIEQEVLDWVKRHLLEHHHHHH</t>
        </is>
      </c>
      <c r="AE208" s="5" t="n"/>
      <c r="AF208" s="5" t="n"/>
      <c r="AG208" s="5" t="n"/>
      <c r="AH208" s="5" t="n"/>
      <c r="AI208" s="5" t="n"/>
      <c r="AJ208" s="5" t="n"/>
      <c r="AK208" s="5" t="n"/>
      <c r="AL208" s="5" t="n">
        <v>1</v>
      </c>
    </row>
    <row r="209" ht="15" customHeight="1" s="12">
      <c r="A209" s="5" t="inlineStr">
        <is>
          <t>retrieving_only</t>
        </is>
      </c>
      <c r="B209" s="5" t="inlineStr">
        <is>
          <t>MVRRLWRRIAGWLAACVAILCAFPLHAATAGPGAWSSQQTWAADSVNGGNLTGYFYWPASQPTTPNGKRALVLVLHGCVQTASGDVIDNANGAGFNWKSVADQYGAVILAPNATGNVYSNHCWDYANASPSRTAGHVGVLLDLVNRFVTNSQYAIDPNQVYVAGLSSGGGMTMVLGCIAPDIFAGIGINAGPPPGTTTAQIGYVPSGFTATTAANKCNAWAGSNAGKFSTQIAGAVWGTSDYTVAQAYGPMDAAAMRLVYGGNFTQGSQVSISGGGTNTPYTDSNGKVRTHEISVSGMAHAWPAGTGGDNTNYVDATHINYPVFVMDYWVKNNLRAGSGTGQAGSAPTGLAVTATTSTSVSLSWNAVANASSYGVYRNGSKVGSATATAYTDSGLIAGTTYSYTVTAVDPTAGESQPSAAVSATTKSAFTCTATTASNYAHVQAGRAHDSGGIAYANGSNQSMGLDNLFYTSTLAQTAAGYYIVGNCP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inlineStr">
        <is>
          <t>PhaZAfa</t>
        </is>
      </c>
      <c r="Z209" s="5" t="inlineStr">
        <is>
          <t>AAA21974.1</t>
        </is>
      </c>
      <c r="AA209" s="5" t="inlineStr">
        <is>
          <t>Direct</t>
        </is>
      </c>
      <c r="AB209" s="5" t="n">
        <v>109</v>
      </c>
      <c r="AC209" s="5" t="inlineStr">
        <is>
          <t>10.1016/S0141-8130(99)00046-X</t>
        </is>
      </c>
      <c r="AD209" s="5" t="inlineStr">
        <is>
          <t>MVRRLWRRIAGWLAACVAILCAFPLHAATAGPGAWSSQQTWAADSVNGGNLTGYFYWPASQPTTPNGKRALVLVLHGCVQTASGDVIDNANGAGFNWKSVADQYGAVILAPNATGNVYSNHCWDYANASPSRTAGHVGVLLDLVNRFVTNSQYAIDPNQVYVAGLSSGGGMTMVLGCIAPDIFAGIGINAGPPPGTTTAQIGYVPSGFTATTAANKCNAWAGSNAGKFSTQIAGAVWGTSDYTVAQAYGPMDAAAMRLVYGGNFTQGSQVSISGGGTNTPYTDSNGKVRTHEISVSGMAHAWPAGTGGDNTNYVDATHINYPVFVMDYWVKNNLRAGSGTGQAGSAPTGLAVTATTSTSVSLSWNAVANASSYGVYRNGSKVGSATATAYTDSGLIAGTTYSYTVTAVDPTAGESQPSAAVSATTKSAFTCTATTASNYAHVQAGRAHDSGGIAYANGSNQSMGLDNLFYTSTLAQTAAGYYIVGNCP</t>
        </is>
      </c>
      <c r="AE209" s="5" t="inlineStr">
        <is>
          <t>Alcaligenes faecalis</t>
        </is>
      </c>
      <c r="AF209" s="5" t="n">
        <v>511</v>
      </c>
      <c r="AG209" s="5" t="inlineStr">
        <is>
          <t>supp_unavailable</t>
        </is>
      </c>
      <c r="AH209" s="5" t="inlineStr">
        <is>
          <t>ncbi</t>
        </is>
      </c>
      <c r="AI209" s="5" t="n"/>
      <c r="AJ209" s="5" t="n"/>
      <c r="AK209" s="5" t="n"/>
      <c r="AL209" s="5" t="n">
        <v>1</v>
      </c>
    </row>
    <row r="210" ht="15" customHeight="1" s="12">
      <c r="A210" s="5" t="inlineStr">
        <is>
          <t>retrieving_only</t>
        </is>
      </c>
      <c r="B210" s="5" t="inlineStr">
        <is>
          <t>MASIVVPGSAAAADNPYQRGPNPTQASVAANRGTFATAETSVGGGNGFGGAKIYYPTDTSQGTFGAIAVVPGYTATWAAEGAWMGHWLSSFGFVVIGIDTNSRNDNDTARGTQLLAALDYLTQRSSVRARVDPNRLAVMGHSMGGGGAISAALRRPTLKAAIGNAPFSPSQNLSTMRVPTALLAGQRDGTVTPSLVSGYYNQIPASTEKMYLELTGAGHGFPTSNNSVATRKWVPWMKIFLDQDTRYQQFLCPLLDNTGISAYRSTCPLIPGDPAPGTTFSLAGSASGKCVDVPGGTQTNGAGLIIWPCRGVTNQRWAQTAAGELRIYDNAKCMDANASGQGARVTINSCHGGASQKWTVNTNGTVTNSASGRCLEAVGTADDAPVVVNTCNGGSGQTWAKRA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inlineStr">
        <is>
          <t>TEP164</t>
        </is>
      </c>
      <c r="Z210" s="5" t="inlineStr">
        <is>
          <t>WP_256510519.1</t>
        </is>
      </c>
      <c r="AA210" s="5" t="inlineStr">
        <is>
          <t>Direct</t>
        </is>
      </c>
      <c r="AB210" s="5" t="n">
        <v>473</v>
      </c>
      <c r="AC210" s="5" t="inlineStr">
        <is>
          <t>10.1021/acscatal.5c03460</t>
        </is>
      </c>
      <c r="AD210" s="5" t="inlineStr">
        <is>
          <t>MASIVVPGSAAAADNPYQRGPNPTQASVAANRGTFATAETSVGGGNGFGGAKIYYPTDTSQGTFGAIAVVPGYTATWAAEGAWMGHWLSSFGFVVIGIDTNSRNDNDTARGTQLLAALDYLTQRSSVRARVDPNRLAVMGHSMGGGGAISAALRRPTLKAAIGNAPFSPSQNLSTMRVPTALLAGQRDGTVTPSLVSGYYNQIPASTEKMYLELTGAGHGFPTSNNSVATRKWVPWMKIFLDQDTRYQQFLCPLLDNTGISAYRSTCPLIPGDPAPGTTFSLAGSASGKCVDVPGGTQTNGAGLIIWPCRGVTNQRWAQTAAGELRIYDNAKCMDANASGQGARVTINSCHGGASQKWTVNTNGTVTNSASGRCLEAVGTADDAPVVVNTCNGGSGQTWAKRA</t>
        </is>
      </c>
      <c r="AE210" s="5" t="inlineStr">
        <is>
          <t>Crossiella sp. SN42</t>
        </is>
      </c>
      <c r="AF210" s="5" t="n">
        <v>2944808</v>
      </c>
      <c r="AG210" s="5" t="inlineStr">
        <is>
          <t>seq_in_supp</t>
        </is>
      </c>
      <c r="AH210" s="5" t="inlineStr">
        <is>
          <t>ncbi</t>
        </is>
      </c>
      <c r="AI210" s="5" t="n"/>
      <c r="AJ210" s="5" t="n"/>
      <c r="AK210" s="5" t="n"/>
      <c r="AL210" s="5" t="n">
        <v>1</v>
      </c>
    </row>
    <row r="211" ht="15" customHeight="1" s="12">
      <c r="A211" s="5" t="inlineStr">
        <is>
          <t>retrieving_only</t>
        </is>
      </c>
      <c r="B211" s="5" t="inlineStr">
        <is>
          <t>MANPYERGPDPTESSIEAVRGPFAVAQTTVSRLQADGFGGGTIYYPTDTSQGTFGAVAISPGFTAGQESIAWLGPRIASQGFVVITIDTITRLDQPDSRGRQLQAALDHLRTNSVVRNRIDPNRMAVMGHSMGGGGALSAAANNTSLEAAIPLQGWHTRKNWSSVRTPTLVVGAQLDTIAPVSSHSEAFYNSLPSDLDKAYMELRGASHLVSNTPDTTTAKYSIAWLKRFVDDDLRYEQFLCPAPDDFAISEYRSTCPFLEHHHHHH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inlineStr">
        <is>
          <t>PHL-7</t>
        </is>
      </c>
      <c r="Z211" s="5" t="inlineStr">
        <is>
          <t>7NEI</t>
        </is>
      </c>
      <c r="AA211" s="5" t="inlineStr">
        <is>
          <t>Direct</t>
        </is>
      </c>
      <c r="AB211" s="5" t="n">
        <v>37</v>
      </c>
      <c r="AC211" s="5" t="inlineStr">
        <is>
          <t>10.1021/acscatal.2c02275; 10.1002/cssc.202101062; 10.1002/cssc.202500944; 10.1039/D4SU00722K</t>
        </is>
      </c>
      <c r="AD211" s="5" t="inlineStr">
        <is>
          <t>MANPYERGPDPTESSIEAVRGPFAVAQTTVSRLQADGFGGGTIYYPTDTSQGTFGAVAISPGFTAGQESIAWLGPRIASQGFVVITIDTITRLDQPDSRGRQLQAALDHLRTNSVVRNRIDPNRMAVMGHSMGGGGALSAAANNTSLEAAIPLQGWHTRKNWSSVRTPTLVVGAQLDTIAPVSSHSEAFYNSLPSDLDKAYMELRGASHLVSNTPDTTTAKYSIAWLKRFVDDDLRYEQFLCPAPDDFAISEYRSTCPFLEHHHHHH</t>
        </is>
      </c>
      <c r="AE211" s="5" t="inlineStr">
        <is>
          <t>Compost metagenome</t>
        </is>
      </c>
      <c r="AF211" s="5" t="n"/>
      <c r="AG211" s="5" t="inlineStr">
        <is>
          <t>supp_no_match</t>
        </is>
      </c>
      <c r="AH211" s="5" t="inlineStr">
        <is>
          <t>ncbi_uid</t>
        </is>
      </c>
      <c r="AI211" s="5" t="n"/>
      <c r="AJ211" s="5" t="n"/>
      <c r="AK211" s="5" t="n"/>
      <c r="AL211" s="5" t="n">
        <v>1</v>
      </c>
    </row>
    <row r="212" ht="15" customHeight="1" s="12">
      <c r="A212" s="5" t="inlineStr">
        <is>
          <t>retrieving_only</t>
        </is>
      </c>
      <c r="B212" s="5" t="inlineStr">
        <is>
          <t>MTTFGVPGVRVGHWSDFEGRTGCTVVDLPAGTVASYEARGGAPASRELELLEPGKAVSAIDGVVLTGGSAFGLAAADGVMRFYRGQGRGVQTPAGPVPIVPTLALFDLTAGDPAAAPDSAAGYAAAQACAVDQTLQGQVGAGTGAYVGHWRGPDGRRPGGLGYAEHRLGELVVACLAVVNAFGDIDDGSAGVSFDAVRMLAEPFAFGEGRAHTTIGVVVTNARLDKTACRTVAQGAHDGLARSITPPHTQFDGDGFVAAATGQVDAHVDIVRLLALACVTDAVRSVA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inlineStr">
        <is>
          <t>Nyl47</t>
        </is>
      </c>
      <c r="Z212" s="5" t="inlineStr">
        <is>
          <t>WP_131292212.1</t>
        </is>
      </c>
      <c r="AA212" s="5" t="inlineStr">
        <is>
          <t>Direct</t>
        </is>
      </c>
      <c r="AB212" s="5" t="n">
        <v>361</v>
      </c>
      <c r="AC212" s="5" t="inlineStr">
        <is>
          <t>10.1016/j.checat.2025.101418</t>
        </is>
      </c>
      <c r="AD212" s="5" t="inlineStr">
        <is>
          <t>MTTFGVPGVRVGHWSDFEGRTGCTVVDLPAGTVASYEARGGAPASRELELLEPGKAVSAIDGVVLTGGSAFGLAAADGVMRFYRGQGRGVQTPAGPVPIVPTLALFDLTAGDPAAAPDSAAGYAAAQACAVDQTLQGQVGAGTGAYVGHWRGPDGRRPGGLGYAEHRLGELVVACLAVVNAFGDIDDGSAGVSFDAVRMLAEPFAFGEGRAHTTIGVVVTNARLDKTACRTVAQGAHDGLARSITPPHTQFDGDGFVAAATGQVDAHVDIVRLLALACVTDAVRSVA</t>
        </is>
      </c>
      <c r="AE212" s="5" t="inlineStr">
        <is>
          <t>Kribbella sindirgiensis</t>
        </is>
      </c>
      <c r="AF212" s="5" t="n">
        <v>1124744</v>
      </c>
      <c r="AG212" s="5" t="inlineStr">
        <is>
          <t>supp_unavailable</t>
        </is>
      </c>
      <c r="AH212" s="5" t="inlineStr">
        <is>
          <t>ncbi</t>
        </is>
      </c>
      <c r="AI212" s="5" t="n"/>
      <c r="AJ212" s="5" t="n"/>
      <c r="AK212" s="5" t="n"/>
      <c r="AL212" s="5" t="n">
        <v>1</v>
      </c>
    </row>
    <row r="213" ht="15" customHeight="1" s="12">
      <c r="A213" s="5" t="inlineStr">
        <is>
          <t>retrieving_only</t>
        </is>
      </c>
      <c r="B213" s="5" t="inlineStr">
        <is>
          <t>MDQSFKNITDVPGIKVGNAENTEGLTGCTVIILEQGARCGVDVRGGGPGTRETDLLNPMNLVDQVNGVCLAGGSAYGLDAASGVMAYLEEQQLGLDVGVGIVPIVPAAVLFDLGVGSYSIRPTPEMGYAAARDAHSGALKLGNYGAGCGATVGKIAGQERAMKGGLGSSSRTFSNGLVVGALVAVNAVGEVRDSKTGEILAGIRDDNGHITESLEWMLNQKLISVLPGTNTTIGVVACNANLNKAQMNKVASMAHDGLARTIYPIHTMYDGDTIFALSTGQLEATVDFIGTIAAEVLAEAVVNSIIMAEGLGGYPSYRDLKKKNH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inlineStr">
        <is>
          <t>Nyl45</t>
        </is>
      </c>
      <c r="Z213" s="5" t="inlineStr">
        <is>
          <t>RYL92504.1</t>
        </is>
      </c>
      <c r="AA213" s="5" t="inlineStr">
        <is>
          <t>Direct</t>
        </is>
      </c>
      <c r="AB213" s="5" t="n">
        <v>360</v>
      </c>
      <c r="AC213" s="5" t="inlineStr">
        <is>
          <t>10.1016/j.checat.2025.101418</t>
        </is>
      </c>
      <c r="AD213" s="5" t="inlineStr">
        <is>
          <t>MDQSFKNITDVPGIKVGNAENTEGLTGCTVIILEQGARCGVDVRGGGPGTRETDLLNPMNLVDQVNGVCLAGGSAYGLDAASGVMAYLEEQQLGLDVGVGIVPIVPAAVLFDLGVGSYSIRPTPEMGYAAARDAHSGALKLGNYGAGCGATVGKIAGQERAMKGGLGSSSRTFSNGLVVGALVAVNAVGEVRDSKTGEILAGIRDDNGHITESLEWMLNQKLISVLPGTNTTIGVVACNANLNKAQMNKVASMAHDGLARTIYPIHTMYDGDTIFALSTGQLEATVDFIGTIAAEVLAEAVVNSIIMAEGLGGYPSYRDLKKKNH</t>
        </is>
      </c>
      <c r="AE213" s="5" t="inlineStr">
        <is>
          <t>Sporolactobacillus sp. THM7-4</t>
        </is>
      </c>
      <c r="AF213" s="5" t="n">
        <v>2511170</v>
      </c>
      <c r="AG213" s="5" t="inlineStr">
        <is>
          <t>supp_unavailable</t>
        </is>
      </c>
      <c r="AH213" s="5" t="inlineStr">
        <is>
          <t>ncbi</t>
        </is>
      </c>
      <c r="AI213" s="5" t="n"/>
      <c r="AJ213" s="5" t="n"/>
      <c r="AK213" s="5" t="n"/>
      <c r="AL213" s="5" t="n">
        <v>1</v>
      </c>
    </row>
    <row r="214" ht="15" customHeight="1" s="12">
      <c r="A214" s="5" t="inlineStr">
        <is>
          <t>retrieving_only</t>
        </is>
      </c>
      <c r="B214" s="5" t="inlineStr">
        <is>
          <t>MFKLATAGIAAAVGMFTMTVTAGSASAADNPYQRGPDPTRTSVTAVNGPFANTSVSVPTGYGFNGGRIYYPTDTSQGTFGAIAISPGYTALFSAELAWMGPWLASHGFVVIGIETNSRNDFDTARGTQLLAALDYLTQQSPVRDRVDSSRLAVSGHSMGGGGALSAAMRRASLKAVVGITPYSPSSNLANDRVPTMIISGQADTVVTPSYALGLYNSIPATTESVYLEVAGGDHGFMVGRSNPVLVRTMLPFLKMFIDNDTRYSQFLCPLLDNSGVVTYRSTCPLLPTDPTTPPTGTPTPTPTTPAPTTPPPTTPPGSASEIRGTQSNRCIDVPNASRNNGTRVQLYDCNRQTNQAWTYTANRQLQVYGNMCLDAAGSGNGAAVQIYSCHNQTNQQWNINSNGTISGVQSGRCLDVWSTSNGAQIQLYDCHGQTNQQFRLTPLA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>
        <v>1525</v>
      </c>
      <c r="Z214" s="5" t="inlineStr">
        <is>
          <t>WP_099848711.1</t>
        </is>
      </c>
      <c r="AA214" s="5" t="inlineStr">
        <is>
          <t>Direct</t>
        </is>
      </c>
      <c r="AB214" s="5" t="n">
        <v>284</v>
      </c>
      <c r="AC214" s="5" t="inlineStr">
        <is>
          <t>10.1126/science.adp5637</t>
        </is>
      </c>
      <c r="AD214" s="5" t="inlineStr">
        <is>
          <t>MFKLATAGIAAAVGMFTMTVTAGSASAADNPYQRGPDPTRTSVTAVNGPFANTSVSVPTGYGFNGGRIYYPTDTSQGTFGAIAISPGYTALFSAELAWMGPWLASHGFVVIGIETNSRNDFDTARGTQLLAALDYLTQQSPVRDRVDSSRLAVSGHSMGGGGALSAAMRRASLKAVVGITPYSPSSNLANDRVPTMIISGQADTVVTPSYALGLYNSIPATTESVYLEVAGGDHGFMVGRSNPVLVRTMLPFLKMFIDNDTRYSQFLCPLLDNSGVVTYRSTCPLLPTDPTTPPTGTPTPTPTTPAPTTPPPTTPPGSASEIRGTQSNRCIDVPNASRNNGTRVQLYDCNRQTNQAWTYTANRQLQVYGNMCLDAAGSGNGAAVQIYSCHNQTNQQWNINSNGTISGVQSGRCLDVWSTSNGAQIQLYDCHGQTNQQFRLTPLA</t>
        </is>
      </c>
      <c r="AE214" s="5" t="inlineStr">
        <is>
          <t>Verrucosispora sp. CNZ293</t>
        </is>
      </c>
      <c r="AF214" s="5" t="n">
        <v>2035249</v>
      </c>
      <c r="AG214" s="5" t="inlineStr">
        <is>
          <t>supp_unavailable</t>
        </is>
      </c>
      <c r="AH214" s="5" t="inlineStr">
        <is>
          <t>ncbi</t>
        </is>
      </c>
      <c r="AI214" s="5" t="n"/>
      <c r="AJ214" s="5" t="n"/>
      <c r="AK214" s="5" t="n"/>
      <c r="AL214" s="5" t="n">
        <v>1</v>
      </c>
    </row>
    <row r="215" ht="15" customHeight="1" s="12">
      <c r="A215" s="5" t="inlineStr">
        <is>
          <t>retrieving_only</t>
        </is>
      </c>
      <c r="B215" s="5" t="inlineStr">
        <is>
          <t>MFEIKITDIEGFKLGHAQDLEGATGCTVLLCEEGASGGVDVRGGAPGTRETDLLNPMEMVDKVHAVVLSGGSAFGLDACSGVMEYLENKNIGFDVGVAKVPIVCGAVLFDLACGNPKVRPNKEMGLEACKNSESYLDSKNGNIGCGTGATVGKALNQKLAMKGGFGSYAVQVGDLKVGAIVGVNSLGDIVDPNNNNKIIAGGLNKDRNSFINIEESLLANYSNPKNVFKGNTTIGCIVTNGDFNKAQANKIASMAQNGFGRTIRPAHTMFDGDTIFTLSLNKVKADINVVGLLAAQVMEKAIIKAVKEADSSYGFLSHKDLKFNV</t>
        </is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inlineStr">
        <is>
          <t>Nyl30</t>
        </is>
      </c>
      <c r="Z215" s="5" t="inlineStr">
        <is>
          <t>PWX09261.1</t>
        </is>
      </c>
      <c r="AA215" s="5" t="inlineStr">
        <is>
          <t>Direct</t>
        </is>
      </c>
      <c r="AB215" s="5" t="n">
        <v>353</v>
      </c>
      <c r="AC215" s="5" t="inlineStr">
        <is>
          <t>10.1016/j.checat.2025.101418</t>
        </is>
      </c>
      <c r="AD215" s="5" t="inlineStr">
        <is>
          <t>MFEIKITDIEGFKLGHAQDLEGATGCTVLLCEEGASGGVDVRGGAPGTRETDLLNPMEMVDKVHAVVLSGGSAFGLDACSGVMEYLENKNIGFDVGVAKVPIVCGAVLFDLACGNPKVRPNKEMGLEACKNSESYLDSKNGNIGCGTGATVGKALNQKLAMKGGFGSYAVQVGDLKVGAIVGVNSLGDIVDPNNNNKIIAGGLNKDRNSFINIEESLLANYSNPKNVFKGNTTIGCIVTNGDFNKAQANKIASMAQNGFGRTIRPAHTMFDGDTIFTLSLNKVKADINVVGLLAAQVMEKAIIKAVKEADSSYGFLSHKDLKFNV</t>
        </is>
      </c>
      <c r="AE215" s="5" t="inlineStr">
        <is>
          <t>Clostridium perfringens</t>
        </is>
      </c>
      <c r="AF215" s="5" t="n">
        <v>1502</v>
      </c>
      <c r="AG215" s="5" t="inlineStr">
        <is>
          <t>supp_unavailable</t>
        </is>
      </c>
      <c r="AH215" s="5" t="inlineStr">
        <is>
          <t>ncbi</t>
        </is>
      </c>
      <c r="AI215" s="5" t="n"/>
      <c r="AJ215" s="5" t="n"/>
      <c r="AK215" s="5" t="n"/>
      <c r="AL215" s="5" t="n">
        <v>1</v>
      </c>
    </row>
    <row r="216" ht="15" customHeight="1" s="12">
      <c r="A216" s="5" t="inlineStr">
        <is>
          <t>retrieving_only</t>
        </is>
      </c>
      <c r="B216" s="5" t="inlineStr">
        <is>
          <t>MFATRAPARPSPLRRSLIVSTAVLGLLVGNTALAQSAEASPPHGPDPTEESITAPRGPFEIDQKTVSRASVRGFGGGTIYYPTDTSEGTFSAVAIAPGYTAGQESLAWLGPRLASQGFVVFTIDTLTRYDQPDSRSRQLLAALDHLTDDSDVADRVDPARRGVMGHSMGGGGSLQAALDDPDLKAAIPMTPWHTTKDFSGVRTPTLIIGAQNDTVAPVSQHAKPFYESLPDDPGKAYLELAGASHFAPNVDNTTIARYSIAWLKRFLDDDTRYEQFLCPPPPDPAISDHQSTCPY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inlineStr">
        <is>
          <t>TEP105</t>
        </is>
      </c>
      <c r="Z216" s="5" t="inlineStr">
        <is>
          <t>WP_150070118.1</t>
        </is>
      </c>
      <c r="AA216" s="5" t="inlineStr">
        <is>
          <t>Direct</t>
        </is>
      </c>
      <c r="AB216" s="5" t="n">
        <v>468</v>
      </c>
      <c r="AC216" s="5" t="inlineStr">
        <is>
          <t>10.1021/acscatal.5c03460</t>
        </is>
      </c>
      <c r="AD216" s="5" t="inlineStr">
        <is>
          <t>MFATRAPARPSPLRRSLIVSTAVLGLLVGNTALAQSAEASPPHGPDPTEESITAPRGPFEIDQKTVSRASVRGFGGGTIYYPTDTSEGTFSAVAIAPGYTAGQESLAWLGPRLASQGFVVFTIDTLTRYDQPDSRSRQLLAALDHLTDDSDVADRVDPARRGVMGHSMGGGGSLQAALDDPDLKAAIPMTPWHTTKDFSGVRTPTLIIGAQNDTVAPVSQHAKPFYESLPDDPGKAYLELAGASHFAPNVDNTTIARYSIAWLKRFLDDDTRYEQFLCPPPPDPAISDHQSTCPY</t>
        </is>
      </c>
      <c r="AE216" s="5" t="inlineStr">
        <is>
          <t>Saccharopolyspora hirsuta</t>
        </is>
      </c>
      <c r="AF216" s="5" t="n">
        <v>1837</v>
      </c>
      <c r="AG216" s="5" t="inlineStr">
        <is>
          <t>seq_in_supp</t>
        </is>
      </c>
      <c r="AH216" s="5" t="inlineStr">
        <is>
          <t>ncbi</t>
        </is>
      </c>
      <c r="AI216" s="5" t="n"/>
      <c r="AJ216" s="5" t="n"/>
      <c r="AK216" s="5" t="n"/>
      <c r="AL216" s="5" t="n">
        <v>1</v>
      </c>
    </row>
    <row r="217" ht="15" customHeight="1" s="12">
      <c r="A217" s="5" t="inlineStr">
        <is>
          <t>retrieving_only</t>
        </is>
      </c>
      <c r="B217" s="5" t="inlineStr">
        <is>
          <t>MKSGQHQKKDTVMKTPLFKLAALTLGVSLSSVALATNPGGGGGGSNPDTGTGFPGVSSFSADGSFATTSGSAGLSCTVFRPSTLGANGLKHPIIVWGNGTTASPSTYSGILEHWASHGFVVIAANTSNAGTGQDMLNCVDYLTTQNNRSTGTYANKLDLNRIGAAGHSQGGGGTIMAGQDYRIKVTAPFQPYTIGLGHNSSSQSNQNGPMFLMTGSADTIASPTLNALPVYNRANVPVFWGELSGASHFEPVGSAGDFRGPSTAWFRYHLMDDASAEDTFYGSNCDLCTDNDWDVRRKGIN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inlineStr">
        <is>
          <t>dsPETase05</t>
        </is>
      </c>
      <c r="Z217" s="5" t="n"/>
      <c r="AA217" s="5" t="inlineStr">
        <is>
          <t>Direct</t>
        </is>
      </c>
      <c r="AB217" s="5" t="n">
        <v>237</v>
      </c>
      <c r="AC217" s="5" t="inlineStr">
        <is>
          <t>10.1038/s41586-024-07891-2</t>
        </is>
      </c>
      <c r="AD217" s="5" t="inlineStr">
        <is>
          <t>MKSGQHQKKDTVMKTPLFKLAALTLGVSLSSVALATNPGGGGGGSNPDTGTGFPGVSSFSADGSFATTSGSAGLSCTVFRPSTLGANGLKHPIIVWGNGTTASPSTYSGILEHWASHGFVVIAANTSNAGTGQDMLNCVDYLTTQNNRSTGTYANKLDLNRIGAAGHSQGGGGTIMAGQDYRIKVTAPFQPYTIGLGHNSSSQSNQNGPMFLMTGSADTIASPTLNALPVYNRANVPVFWGELSGASHFEPVGSAGDFRGPSTAWFRYHLMDDASAEDTFYGSNCDLCTDNDWDVRRKGIN</t>
        </is>
      </c>
      <c r="AE217" s="5" t="n"/>
      <c r="AF217" s="5" t="n"/>
      <c r="AG217" s="5" t="n"/>
      <c r="AH217" s="5" t="n"/>
      <c r="AI217" s="5" t="n"/>
      <c r="AJ217" s="5" t="n"/>
      <c r="AK217" s="5" t="n"/>
      <c r="AL217" s="5" t="n">
        <v>1</v>
      </c>
    </row>
    <row r="218" ht="15" customHeight="1" s="12">
      <c r="A218" s="5" t="inlineStr">
        <is>
          <t>retrieving_only</t>
        </is>
      </c>
      <c r="B218" s="5" t="inlineStr">
        <is>
          <t>MERLSRRNVLVAGGALGALGALGVATPAWTWAPSGSVAGAGAGLDPRWVWDDEADPLVASLIDRGDVPRVNALLRTWTKNGQALPAGLPADLRDFMEHARQLPAWTDQRKLSLAVEFNTKRGLYLGVLYGLASGMMSTVIPKEARAVYYSQGGADMKDRISKTAKLGYDIGAYNAYQPDGEMIVTCVKTRLVHAAVRHLLPQSPYWAAVADEEIPISQRDMMVTWHSLPTTVMQKLTAWKVPIPAAESEAFLHSWQLGAHMLGIKDEYIPASWSEANAQAAQVLTPVLAPTPEGIKLADILLNLGSVVDAGILSKPILGAFTRFMLGDQIAGWLKIDREPVWDTLLRTAWGPFVAVREGLLPFPLAPAAYWLFDEFLRKAALLFLSEARPISIEIPVANRPS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inlineStr">
        <is>
          <t>lcp2</t>
        </is>
      </c>
      <c r="Z218" s="5" t="inlineStr">
        <is>
          <t>UFE15763.1</t>
        </is>
      </c>
      <c r="AA218" s="5" t="inlineStr">
        <is>
          <t>Indirect</t>
        </is>
      </c>
      <c r="AB218" s="5" t="n"/>
      <c r="AC218" s="5" t="inlineStr">
        <is>
          <t>10.3389/fmicb.2022.854427</t>
        </is>
      </c>
      <c r="AD218" s="5" t="inlineStr">
        <is>
          <t>MERLSRRNVLVAGGALGALGALGVATPAWTWAPSGSVAGAGAGLDPRWVWDDEADPLVASLIDRGDVPRVNALLRTWTKNGQALPAGLPADLRDFMEHARQLPAWTDQRKLSLAVEFNTKRGLYLGVLYGLASGMMSTVIPKEARAVYYSQGGADMKDRISKTAKLGYDIGAYNAYQPDGEMIVTCVKTRLVHAAVRHLLPQSPYWAAVADEEIPISQRDMMVTWHSLPTTVMQKLTAWKVPIPAAESEAFLHSWQLGAHMLGIKDEYIPASWSEANAQAAQVLTPVLAPTPEGIKLADILLNLGSVVDAGILSKPILGAFTRFMLGDQIAGWLKIDREPVWDTLLRTAWGPFVAVREGLLPFPLAPAAYWLFDEFLRKAALLFLSEARPISIEIPVANRPS</t>
        </is>
      </c>
      <c r="AE218" s="5" t="n"/>
      <c r="AF218" s="5" t="n"/>
      <c r="AG218" s="5" t="inlineStr">
        <is>
          <t>supp_unavailable</t>
        </is>
      </c>
      <c r="AH218" s="5" t="inlineStr">
        <is>
          <t>ncbi</t>
        </is>
      </c>
      <c r="AI218" s="5" t="n"/>
      <c r="AJ218" s="5" t="n"/>
      <c r="AK218" s="5" t="n"/>
      <c r="AL218" s="5" t="n">
        <v>1</v>
      </c>
    </row>
    <row r="219" ht="15" customHeight="1" s="12">
      <c r="A219" s="5" t="inlineStr">
        <is>
          <t>retrieving_only</t>
        </is>
      </c>
      <c r="B219" s="5" t="inlineStr">
        <is>
          <t>MERKNSRRRWAIGLGLLVLAASAHAQTNPYQKGPDPTSASLNATSGPFSVATSSVSSLVTGFGGGTIYYPTTTGTYAVLAISPGFTATQSSIAWLGRRIATHGFVVITIDTNSTLDQPPSRATQLMAALNYVTNSSNATVRSRVDASRRGVAGHSMGGGGTLYAARDNPSLKAAVPLTAWSTLKSFSSMQVPTLVIGAEADTVAPVASHSIPFYNSLSGSLDKAYAELNGASHFAPNSTNTPIGRYSVAWVKRFMDNDTRYTQFLCGTPHQSYATSLVFSDYRSTCPY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>
        <v>247</v>
      </c>
      <c r="Z219" s="5" t="inlineStr">
        <is>
          <t>WP_116813002.1</t>
        </is>
      </c>
      <c r="AA219" s="5" t="inlineStr">
        <is>
          <t>Direct</t>
        </is>
      </c>
      <c r="AB219" s="5" t="n">
        <v>313</v>
      </c>
      <c r="AC219" s="5" t="inlineStr">
        <is>
          <t>10.1126/science.adp5637</t>
        </is>
      </c>
      <c r="AD219" s="5" t="inlineStr">
        <is>
          <t>MERKNSRRRWAIGLGLLVLAASAHAQTNPYQKGPDPTSASLNATSGPFSVATSSVSSLVTGFGGGTIYYPTTTGTYAVLAISPGFTATQSSIAWLGRRIATHGFVVITIDTNSTLDQPPSRATQLMAALNYVTNSSNATVRSRVDASRRGVAGHSMGGGGTLYAARDNPSLKAAVPLTAWSTLKSFSSMQVPTLVIGAEADTVAPVASHSIPFYNSLSGSLDKAYAELNGASHFAPNSTNTPIGRYSVAWVKRFMDNDTRYTQFLCGTPHQSYATSLVFSDYRSTCPY</t>
        </is>
      </c>
      <c r="AE219" s="5" t="inlineStr">
        <is>
          <t>Steroidobacter cummioxidans</t>
        </is>
      </c>
      <c r="AF219" s="5" t="n">
        <v>1803913</v>
      </c>
      <c r="AG219" s="5" t="inlineStr">
        <is>
          <t>supp_unavailable</t>
        </is>
      </c>
      <c r="AH219" s="5" t="inlineStr">
        <is>
          <t>ncbi</t>
        </is>
      </c>
      <c r="AI219" s="5" t="n"/>
      <c r="AJ219" s="5" t="n"/>
      <c r="AK219" s="5" t="n"/>
      <c r="AL219" s="5" t="n">
        <v>1</v>
      </c>
    </row>
    <row r="220" ht="15" customHeight="1" s="12">
      <c r="A220" s="5" t="inlineStr">
        <is>
          <t>retrieving_only</t>
        </is>
      </c>
      <c r="B220" s="5" t="inlineStr">
        <is>
          <t>MTGAITDIPGILVGHATDRRARTGCTVVLCENDAVGGIDIRGTAAGTRQVDALRSLHLVDRVQAILLAGGSAFGLDAAGGVMRYLEERGRGFDVKVTRVPIVPTAVIFDLAFAEKGVRPNEAMGYQACLNASKMVEEGSVGVGTGATVGKLFGLSHATKGGVGTACFALGKILVGALVVVNAFGDVINEETGEILAGTRDPEGDLRFINTFDQIKSGRIPRGESLFNTTLGIVATNVKLTRPQATKLAQMGQNGLVKVITPIHSTYDGDVVFALSVGEEQADLNVIGSMADRAMREAVRRAIDVADGFGIVPSGREVKEGKWRKIS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inlineStr">
        <is>
          <t>Nyl44</t>
        </is>
      </c>
      <c r="Z220" s="5" t="inlineStr">
        <is>
          <t>A0A432H965</t>
        </is>
      </c>
      <c r="AA220" s="5" t="inlineStr">
        <is>
          <t>Direct</t>
        </is>
      </c>
      <c r="AB220" s="5" t="n">
        <v>359</v>
      </c>
      <c r="AC220" s="5" t="inlineStr">
        <is>
          <t>10.1016/j.checat.2025.101418</t>
        </is>
      </c>
      <c r="AD220" s="5" t="inlineStr">
        <is>
          <t>MTGAITDIPGILVGHATDRRARTGCTVVLCENDAVGGIDIRGTAAGTRQVDALRSLHLVDRVQAILLAGGSAFGLDAAGGVMRYLEERGRGFDVKVTRVPIVPTAVIFDLAFAEKGVRPNEAMGYQACLNASKMVEEGSVGVGTGATVGKLFGLSHATKGGVGTACFALGKILVGALVVVNAFGDVINEETGEILAGTRDPEGDLRFINTFDQIKSGRIPRGESLFNTTLGIVATNVKLTRPQATKLAQMGQNGLVKVITPIHSTYDGDVVFALSVGEEQADLNVIGSMADRAMREAVRRAIDVADGFGIVPSGREVKEGKWRKIS</t>
        </is>
      </c>
      <c r="AE220" s="5" t="inlineStr">
        <is>
          <t>Deltaproteobacteria bacterium</t>
        </is>
      </c>
      <c r="AF220" s="5" t="n">
        <v>2026735</v>
      </c>
      <c r="AG220" s="5" t="inlineStr">
        <is>
          <t>supp_unavailable</t>
        </is>
      </c>
      <c r="AH220" s="5" t="inlineStr">
        <is>
          <t>uniparc</t>
        </is>
      </c>
      <c r="AI220" s="5" t="n"/>
      <c r="AJ220" s="5" t="n"/>
      <c r="AK220" s="5" t="n"/>
      <c r="AL220" s="5" t="n">
        <v>1</v>
      </c>
    </row>
    <row r="221" ht="15" customHeight="1" s="12">
      <c r="A221" s="5" t="inlineStr">
        <is>
          <t>retrieving_only</t>
        </is>
      </c>
      <c r="B221" s="5" t="inlineStr">
        <is>
          <t>MTRHQQPTLARPPRLRAALLGIATMLGVLAPAALSGPALAASPYERGPNPTAASVSATTGPFAIASVSVARGNGFGGGVIYYPTATNQGTFGGIAISPGLNGTWAGIAWLGPRLASQGFVVFGIETNNLNDSPTSRGTQLLAALDYLTQRSTVRTRVDAGRLAVMGHSMGGGGALDAALRRPSLQAAIGNAPHLPSGTLSNDRVPTMIYAMQNDTLVPPSRLTTLYNSIPATTERGYILVTGAGHNYIGQPSTTLARTMIPWFKIFIDDDTRYSQFLCPMSNQSGISQYRNSCPLS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inlineStr">
        <is>
          <t>ESM160</t>
        </is>
      </c>
      <c r="Z221" s="5" t="inlineStr">
        <is>
          <t>WP_144022925.1</t>
        </is>
      </c>
      <c r="AA221" s="5" t="inlineStr">
        <is>
          <t>Direct</t>
        </is>
      </c>
      <c r="AB221" s="5" t="n">
        <v>447</v>
      </c>
      <c r="AC221" s="5" t="inlineStr">
        <is>
          <t>10.1021/acscatal.5c03460</t>
        </is>
      </c>
      <c r="AD221" s="5" t="inlineStr">
        <is>
          <t>MTRHQQPTLARPPRLRAALLGIATMLGVLAPAALSGPALAASPYERGPNPTAASVSATTGPFAIASVSVARGNGFGGGVIYYPTATNQGTFGGIAISPGLNGTWAGIAWLGPRLASQGFVVFGIETNNLNDSPTSRGTQLLAALDYLTQRSTVRTRVDAGRLAVMGHSMGGGGALDAALRRPSLQAAIGNAPHLPSGTLSNDRVPTMIYAMQNDTLVPPSRLTTLYNSIPATTERGYILVTGAGHNYIGQPSTTLARTMIPWFKIFIDDDTRYSQFLCPMSNQSGISQYRNSCPLS</t>
        </is>
      </c>
      <c r="AE221" s="5" t="inlineStr">
        <is>
          <t>Asanoa hainanensis</t>
        </is>
      </c>
      <c r="AF221" s="5" t="n">
        <v>560556</v>
      </c>
      <c r="AG221" s="5" t="inlineStr">
        <is>
          <t>seq_in_supp</t>
        </is>
      </c>
      <c r="AH221" s="5" t="inlineStr">
        <is>
          <t>ncbi</t>
        </is>
      </c>
      <c r="AI221" s="5" t="n"/>
      <c r="AJ221" s="5" t="n"/>
      <c r="AK221" s="5" t="n"/>
      <c r="AL221" s="5" t="n">
        <v>1</v>
      </c>
    </row>
    <row r="222" ht="15" customHeight="1" s="12">
      <c r="A222" s="5" t="inlineStr">
        <is>
          <t>retrieving_only</t>
        </is>
      </c>
      <c r="B222" s="5" t="inlineStr">
        <is>
          <t>MEPHSNEAERTTGRHKRTSRRRILSLGVAALFAIGGAGVAVPAAMAGETAQTTDVSAQSQFQRGPNPTVSSIEARTGHYRTSTTRVSSFASGFGGGTIYYPTTTSDGTFGGVAVAPGYTASSSTMDWLGPRIASQGFVVFVIDTNTRLDQPSSRGRQLLAALDYLTERSSERHRVDSNRLAVMGHSMGGGGALEATISRPSLKASIPLTPWNLTKNWSRVTTPTLIVGAENDSVASVRSHSIPFYTSLSSSTDRMYVELDGASHFAPNVSNTTIAKYSISWLKRFVDDDTRYDQFLCPLPNERAISDIRGNCPR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inlineStr">
        <is>
          <t>DP090</t>
        </is>
      </c>
      <c r="Z222" s="5" t="inlineStr">
        <is>
          <t>WP_233872418.1</t>
        </is>
      </c>
      <c r="AA222" s="5" t="inlineStr">
        <is>
          <t>Direct</t>
        </is>
      </c>
      <c r="AB222" s="5" t="n">
        <v>404</v>
      </c>
      <c r="AC222" s="5" t="inlineStr">
        <is>
          <t>10.1021/acscatal.5c03460</t>
        </is>
      </c>
      <c r="AD222" s="5" t="inlineStr">
        <is>
          <t>MEPHSNEAERTTGRHKRTSRRRILSLGVAALFAIGGAGVAVPAAMAGETAQTTDVSAQSQFQRGPNPTVSSIEARTGHYRTSTTRVSSFASGFGGGTIYYPTTTSDGTFGGVAVAPGYTASSSTMDWLGPRIASQGFVVFVIDTNTRLDQPSSRGRQLLAALDYLTERSSERHRVDSNRLAVMGHSMGGGGALEATISRPSLKASIPLTPWNLTKNWSRVTTPTLIVGAENDSVASVRSHSIPFYTSLSSSTDRMYVELDGASHFAPNVSNTTIAKYSISWLKRFVDDDTRYDQFLCPLPNERAISDIRGNCPR</t>
        </is>
      </c>
      <c r="AE222" s="5" t="inlineStr">
        <is>
          <t>Streptomyces sp. ST2-7A</t>
        </is>
      </c>
      <c r="AF222" s="5" t="n">
        <v>2907214</v>
      </c>
      <c r="AG222" s="5" t="inlineStr">
        <is>
          <t>seq_in_supp</t>
        </is>
      </c>
      <c r="AH222" s="5" t="inlineStr">
        <is>
          <t>ncbi</t>
        </is>
      </c>
      <c r="AI222" s="5" t="n"/>
      <c r="AJ222" s="5" t="n"/>
      <c r="AK222" s="5" t="n"/>
      <c r="AL222" s="5" t="n">
        <v>1</v>
      </c>
    </row>
    <row r="223" ht="15" customHeight="1" s="12">
      <c r="A223" s="5" t="inlineStr">
        <is>
          <t>retrieving_only</t>
        </is>
      </c>
      <c r="B223" s="5" t="inlineStr">
        <is>
          <t>MEKVLALLLVTLTVAYAVPDPRGIIINLDEGELCLNSAQCKSNCCQHDTILSLSRCALKARENSECSAFTLYGVYYKCPCERGLTCEGDKSLVGSITNTNFGICHDVGRSSD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inlineStr">
        <is>
          <t>porcine pancreatic lipase</t>
        </is>
      </c>
      <c r="Z223" s="5" t="inlineStr">
        <is>
          <t>NP_999368.1</t>
        </is>
      </c>
      <c r="AA223" s="5" t="inlineStr">
        <is>
          <t>Direct</t>
        </is>
      </c>
      <c r="AB223" s="5" t="n">
        <v>498</v>
      </c>
      <c r="AC223" s="5" t="inlineStr">
        <is>
          <t>10.1016/j.enzmictec.2010.09.011</t>
        </is>
      </c>
      <c r="AD223" s="5" t="inlineStr">
        <is>
          <t>MEKVLALLLVTLTVAYAVPDPRGIIINLDEGELCLNSAQCKSNCCQHDTILSLSRCALKARENSECSAFTLYGVYYKCPCERGLTCEGDKSLVGSITNTNFGICHDVGRSSD</t>
        </is>
      </c>
      <c r="AE223" s="5" t="inlineStr">
        <is>
          <t>Sus scrofa</t>
        </is>
      </c>
      <c r="AF223" s="5" t="n">
        <v>9823</v>
      </c>
      <c r="AG223" s="5" t="inlineStr">
        <is>
          <t>supp_unavailable</t>
        </is>
      </c>
      <c r="AH223" s="5" t="inlineStr">
        <is>
          <t>ncbi</t>
        </is>
      </c>
      <c r="AI223" s="5" t="n"/>
      <c r="AJ223" s="5" t="n"/>
      <c r="AK223" s="5" t="n"/>
      <c r="AL223" s="5" t="n">
        <v>1</v>
      </c>
    </row>
    <row r="224" ht="15" customHeight="1" s="12">
      <c r="A224" s="5" t="inlineStr">
        <is>
          <t>retrieving_only</t>
        </is>
      </c>
      <c r="B224" s="5" t="inlineStr">
        <is>
          <t>MTLLLVFAGAAALSPTASADVNPFQRGPDPTAAGVAAARGPFATAQVTVPAGNGFGGGVVYYPTDTSQGTFGAIAIAPGYGTAWSYYAWQGPRLASFGFVVIGIETNTLNDYADARAAQLLAALDWLVTSSPVRDRVDRNRLAVGGHSMGGGGALLAAIQRPSLMTAIGMAPYVPGGDLSGIRIPTVLFAGQTDGTVTPSYALSAYTTIPGSVERAYVEIANEGHGFPAGGGGGNSGAFARTEMIWMKLFIDKDTRYAPFLCPSLSNMNGISRYQASCPLDPPGGTTPTPSATPTSSPTSTPTSTPSATSALRGAGSSRCLDVPGASQTNGTQLQIWDCNGQANQRWTSTSAGELRVYGGKCLDVNGAGTADGTSVIIWDCNGQNNQKWRLNSDGSITAVGANKCLDVSGAGTANGTKVQIWTCNGQANQRWTRT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inlineStr">
        <is>
          <t>ESM026</t>
        </is>
      </c>
      <c r="Z224" s="5" t="inlineStr">
        <is>
          <t>WP_232326807.1</t>
        </is>
      </c>
      <c r="AA224" s="5" t="inlineStr">
        <is>
          <t>Direct</t>
        </is>
      </c>
      <c r="AB224" s="5" t="n">
        <v>411</v>
      </c>
      <c r="AC224" s="5" t="inlineStr">
        <is>
          <t>10.1021/acscatal.5c03460</t>
        </is>
      </c>
      <c r="AD224" s="5" t="inlineStr">
        <is>
          <t>MTLLLVFAGAAALSPTASADVNPFQRGPDPTAAGVAAARGPFATAQVTVPAGNGFGGGVVYYPTDTSQGTFGAIAIAPGYGTAWSYYAWQGPRLASFGFVVIGIETNTLNDYADARAAQLLAALDWLVTSSPVRDRVDRNRLAVGGHSMGGGGALLAAIQRPSLMTAIGMAPYVPGGDLSGIRIPTVLFAGQTDGTVTPSYALSAYTTIPGSVERAYVEIANEGHGFPAGGGGGNSGAFARTEMIWMKLFIDKDTRYAPFLCPSLSNMNGISRYQASCPLDPPGGTTPTPSATPTSSPTSTPTSTPSATSALRGAGSSRCLDVPGASQTNGTQLQIWDCNGQANQRWTSTSAGELRVYGGKCLDVNGAGTADGTSVIIWDCNGQNNQKWRLNSDGSITAVGANKCLDVSGAGTANGTKVQIWTCNGQANQRWTRT</t>
        </is>
      </c>
      <c r="AE224" s="5" t="inlineStr">
        <is>
          <t>Microbispora sp. ATCC PTA-5024</t>
        </is>
      </c>
      <c r="AF224" s="5" t="n">
        <v>316330</v>
      </c>
      <c r="AG224" s="5" t="inlineStr">
        <is>
          <t>seq_in_supp</t>
        </is>
      </c>
      <c r="AH224" s="5" t="inlineStr">
        <is>
          <t>ncbi</t>
        </is>
      </c>
      <c r="AI224" s="5" t="n"/>
      <c r="AJ224" s="5" t="n"/>
      <c r="AK224" s="5" t="n"/>
      <c r="AL224" s="5" t="n">
        <v>1</v>
      </c>
    </row>
    <row r="225" ht="15" customHeight="1" s="12">
      <c r="A225" s="5" t="inlineStr">
        <is>
          <t>retrieving_only</t>
        </is>
      </c>
      <c r="B225" s="5" t="inlineStr">
        <is>
          <t>MEIKAILARTTLLIASLLVSTHAFSAPGPSAPCSNCTRGPAPTVASLKASSGPFSTAKFSVSGYLKGFGNSTVYYPTNTSGKMGAIAVIPGYLSYESSIEWWGPRLASHGFVVMTMNTNSIYDQPDSRATQLSKALDYLISQSGSSSSPIYGKVDSSRLGAIGWSMGGGGSLKLSTQRSINAIIPQAPWYLGSNTFNTIKTPALILACSADTVAPVYQHASPFYNRIPTSTPKAFLEIYGGSHFCANSGYPNEDLLGMYGIAWMKRFIDFDSRYSQFLCGPNHESDYAISEYRQNCPY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inlineStr">
        <is>
          <t>PpPETase</t>
        </is>
      </c>
      <c r="Z225" s="5" t="inlineStr">
        <is>
          <t>WP_220815207</t>
        </is>
      </c>
      <c r="AA225" s="5" t="inlineStr">
        <is>
          <t>Direct</t>
        </is>
      </c>
      <c r="AB225" s="5" t="n">
        <v>241</v>
      </c>
      <c r="AC225" s="5" t="inlineStr">
        <is>
          <t>10.1016/j.jhazmat.2024.134532</t>
        </is>
      </c>
      <c r="AD225" s="5" t="inlineStr">
        <is>
          <t>MEIKAILARTTLLIASLLVSTHAFSAPGPSAPCSNCTRGPAPTVASLKASSGPFSTAKFSVSGYLKGFGNSTVYYPTNTSGKMGAIAVIPGYLSYESSIEWWGPRLASHGFVVMTMNTNSIYDQPDSRATQLSKALDYLISQSGSSSSPIYGKVDSSRLGAIGWSMGGGGSLKLSTQRSINAIIPQAPWYLGSNTFNTIKTPALILACSADTVAPVYQHASPFYNRIPTSTPKAFLEIYGGSHFCANSGYPNEDLLGMYGIAWMKRFIDFDSRYSQFLCGPNHESDYAISEYRQNCPY</t>
        </is>
      </c>
      <c r="AE225" s="5" t="inlineStr">
        <is>
          <t>Pseudomonas paralcaligenes</t>
        </is>
      </c>
      <c r="AF225" s="5" t="n">
        <v>2772558</v>
      </c>
      <c r="AG225" s="5" t="inlineStr">
        <is>
          <t>acc_in_maintext</t>
        </is>
      </c>
      <c r="AH225" s="5" t="inlineStr">
        <is>
          <t>ncbi</t>
        </is>
      </c>
      <c r="AI225" s="5" t="n"/>
      <c r="AJ225" s="5" t="n"/>
      <c r="AK225" s="5" t="n"/>
      <c r="AL225" s="5" t="n">
        <v>1</v>
      </c>
    </row>
    <row r="226" ht="15" customHeight="1" s="12">
      <c r="A226" s="5" t="inlineStr">
        <is>
          <t>retrieving_only</t>
        </is>
      </c>
      <c r="B226" s="5" t="inlineStr">
        <is>
          <t>MDVAEYAAHDATGLAELIREGQVSACEV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inlineStr">
        <is>
          <t>Arylacylamidase</t>
        </is>
      </c>
      <c r="Z226" s="5" t="inlineStr">
        <is>
          <t>P80008.1</t>
        </is>
      </c>
      <c r="AA226" s="5" t="inlineStr">
        <is>
          <t>Direct</t>
        </is>
      </c>
      <c r="AB226" s="5" t="n">
        <v>64</v>
      </c>
      <c r="AC226" s="5" t="inlineStr">
        <is>
          <t>10.1111/j.1432-1033.1991.tb16086.x</t>
        </is>
      </c>
      <c r="AD226" s="5" t="inlineStr">
        <is>
          <t>MDVAEYAAHDATGLAELIREGQVSACEV</t>
        </is>
      </c>
      <c r="AE226" s="5" t="inlineStr">
        <is>
          <t>Nocardia globerula</t>
        </is>
      </c>
      <c r="AF226" s="5" t="n">
        <v>1818</v>
      </c>
      <c r="AG226" s="5" t="inlineStr">
        <is>
          <t>supp_unavailable</t>
        </is>
      </c>
      <c r="AH226" s="5" t="inlineStr">
        <is>
          <t>ncbi</t>
        </is>
      </c>
      <c r="AI226" s="5" t="n"/>
      <c r="AJ226" s="5" t="n"/>
      <c r="AK226" s="5" t="n"/>
      <c r="AL226" s="5" t="n">
        <v>1</v>
      </c>
    </row>
    <row r="227" ht="15" customHeight="1" s="12">
      <c r="A227" s="5" t="inlineStr">
        <is>
          <t>retrieving_only</t>
        </is>
      </c>
      <c r="B227" s="5" t="inlineStr">
        <is>
          <t>MTLTDIAGVQVGHWTHPDAPTGCTVIVLPEPNVTTVEVRGGAPGTRETDLLAVGMRVEQVQAILLTGGSAFGLAAADGVVTELARQGRGHPTPAGPVPIVPGAVVFDLAMEGEQPKPDAFSGAAAFMAATDDPVAMGRVGAGAGTSAAKWRGFEYLVRTGIGSAAVETPDGHRVGALVVLNPVGDVFTLEGESLTGGDHVPGPPGIRPQPVVNTVLAALVTDAAMSRAELTRLAVRAHDAIGACIRPAHTRFDGDVVFVSAVGMDSGDVDLAAEAAFVATGRAIEAGVRASA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inlineStr">
        <is>
          <t>Nyl72</t>
        </is>
      </c>
      <c r="Z227" s="5" t="inlineStr">
        <is>
          <t>A0A7W0NYQ1</t>
        </is>
      </c>
      <c r="AA227" s="5" t="inlineStr">
        <is>
          <t>Direct</t>
        </is>
      </c>
      <c r="AB227" s="5" t="n">
        <v>372</v>
      </c>
      <c r="AC227" s="5" t="inlineStr">
        <is>
          <t>10.1016/j.checat.2025.101418</t>
        </is>
      </c>
      <c r="AD227" s="5" t="inlineStr">
        <is>
          <t>MTLTDIAGVQVGHWTHPDAPTGCTVIVLPEPNVTTVEVRGGAPGTRETDLLAVGMRVEQVQAILLTGGSAFGLAAADGVVTELARQGRGHPTPAGPVPIVPGAVVFDLAMEGEQPKPDAFSGAAAFMAATDDPVAMGRVGAGAGTSAAKWRGFEYLVRTGIGSAAVETPDGHRVGALVVLNPVGDVFTLEGESLTGGDHVPGPPGIRPQPVVNTVLAALVTDAAMSRAELTRLAVRAHDAIGACIRPAHTRFDGDVVFVSAVGMDSGDVDLAAEAAFVATGRAIEAGVRASA</t>
        </is>
      </c>
      <c r="AE227" s="5" t="inlineStr">
        <is>
          <t>Acidimicrobiia bacterium</t>
        </is>
      </c>
      <c r="AF227" s="5" t="n">
        <v>2080302</v>
      </c>
      <c r="AG227" s="5" t="inlineStr">
        <is>
          <t>supp_unavailable</t>
        </is>
      </c>
      <c r="AH227" s="5" t="inlineStr">
        <is>
          <t>uniparc</t>
        </is>
      </c>
      <c r="AI227" s="5" t="n"/>
      <c r="AJ227" s="5" t="n"/>
      <c r="AK227" s="5" t="n"/>
      <c r="AL227" s="5" t="n">
        <v>1</v>
      </c>
    </row>
    <row r="228" ht="15" customHeight="1" s="12">
      <c r="A228" s="5" t="inlineStr">
        <is>
          <t>retrieving_only</t>
        </is>
      </c>
      <c r="B228" s="5" t="inlineStr">
        <is>
          <t>MDVAEYAAHDATGLAELIREGQVSAAEVWTAAATALDAVEPELAAVAGERFDKPLDYDESGPFAGVPFALKDLIAHAGGVLSRSGSRLFGAGVAHPEDTHLVARFRRAGLAIGAITRSPEFGFNATTEAIAYGGPSRNPWATDRSPGGSSGASAALVASGALPMAHANDGGGSIRIPAAACGAVGLKPSRGRTTPGPDFADPLLGLGIEFAVTRTVRDCARLLDAVHGAEPGDRYLLPGPVRSYAEHAAAGSRPLRIAVTTTPMDAGRAVDPECVAAVNRVAERLAELGHVVEEAAPELDVAAFDKANLDAWCSFRADAVLGASAQLGVQPSREYLEATTLACVEYGKTLSAFDIFAADRVFNQTTRAVASFFTRYDVLLTPATSAPPIPLGHLDADDASLSAREWYDRIFDYGSFTALFNVTGMPAISLPLAESTAGLPIGIQFAGRYGDEATLLALAGDLERAMPWADRRPAVHVGR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inlineStr">
        <is>
          <t>aryl acylamidase</t>
        </is>
      </c>
      <c r="Z228" s="5" t="inlineStr">
        <is>
          <t>WZH92451.1</t>
        </is>
      </c>
      <c r="AA228" s="5" t="inlineStr">
        <is>
          <t>Direct</t>
        </is>
      </c>
      <c r="AB228" s="5" t="n">
        <v>208</v>
      </c>
      <c r="AC228" s="5" t="inlineStr">
        <is>
          <t>10.1007/s12257-013-0189-4</t>
        </is>
      </c>
      <c r="AD228" s="5" t="inlineStr">
        <is>
          <t>MDVAEYAAHDATGLAELIREGQVSAAEVWTAAATALDAVEPELAAVAGERFDKPLDYDESGPFAGVPFALKDLIAHAGGVLSRSGSRLFGAGVAHPEDTHLVARFRRAGLAIGAITRSPEFGFNATTEAIAYGGPSRNPWATDRSPGGSSGASAALVASGALPMAHANDGGGSIRIPAAACGAVGLKPSRGRTTPGPDFADPLLGLGIEFAVTRTVRDCARLLDAVHGAEPGDRYLLPGPVRSYAEHAAAGSRPLRIAVTTTPMDAGRAVDPECVAAVNRVAERLAELGHVVEEAAPELDVAAFDKANLDAWCSFRADAVLGASAQLGVQPSREYLEATTLACVEYGKTLSAFDIFAADRVFNQTTRAVASFFTRYDVLLTPATSAPPIPLGHLDADDASLSAREWYDRIFDYGSFTALFNVTGMPAISLPLAESTAGLPIGIQFAGRYGDEATLLALAGDLERAMPWADRRPAVHVGR</t>
        </is>
      </c>
      <c r="AE228" s="5" t="inlineStr">
        <is>
          <t>Nocardia farcinica</t>
        </is>
      </c>
      <c r="AF228" s="5" t="n">
        <v>37329</v>
      </c>
      <c r="AG228" s="5" t="inlineStr">
        <is>
          <t>supp_unavailable</t>
        </is>
      </c>
      <c r="AH228" s="5" t="inlineStr">
        <is>
          <t>ncbi</t>
        </is>
      </c>
      <c r="AI228" s="5" t="n"/>
      <c r="AJ228" s="5" t="n"/>
      <c r="AK228" s="5" t="n"/>
      <c r="AL228" s="5" t="n">
        <v>1</v>
      </c>
    </row>
    <row r="229" ht="15" customHeight="1" s="12">
      <c r="A229" s="5" t="inlineStr">
        <is>
          <t>retrieving_only</t>
        </is>
      </c>
      <c r="B229" s="5" t="inlineStr">
        <is>
          <t>MTNQTRTTRPTRLWIVAALSACLLLIGAASAFAANPYERGPDPTLASVEATSGTFAYASLSVSSGNGFGGGTIYYPTSTTDGTFAGIVTCPGFTNSGSSMAWFGKVLASQGFVTLVMNPKSNLDFPDARATQMLAALDWLTNSSSVKTRIDATRLGVLGQSMGGGATLKASKTRPSLKASFATAPYNSDKDWSTNTVPQFLFGMQNDTTAAVTNHALKFYNSLPATTPKIYAELRGAGHSTATSPNTSIRRYAVSFMKRNLDNDTRYSQFLCPGPTITSSSPLSAFMSNCLF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inlineStr">
        <is>
          <t>DP080</t>
        </is>
      </c>
      <c r="Z229" s="5" t="inlineStr">
        <is>
          <t>MBJ7347705.1</t>
        </is>
      </c>
      <c r="AA229" s="5" t="inlineStr">
        <is>
          <t>Direct</t>
        </is>
      </c>
      <c r="AB229" s="5" t="n">
        <v>399</v>
      </c>
      <c r="AC229" s="5" t="inlineStr">
        <is>
          <t>10.1021/acscatal.5c03460</t>
        </is>
      </c>
      <c r="AD229" s="5" t="inlineStr">
        <is>
          <t>MTNQTRTTRPTRLWIVAALSACLLLIGAASAFAANPYERGPDPTLASVEATSGTFAYASLSVSSGNGFGGGTIYYPTSTTDGTFAGIVTCPGFTNSGSSMAWFGKVLASQGFVTLVMNPKSNLDFPDARATQMLAALDWLTNSSSVKTRIDATRLGVLGQSMGGGATLKASKTRPSLKASFATAPYNSDKDWSTNTVPQFLFGMQNDTTAAVTNHALKFYNSLPATTPKIYAELRGAGHSTATSPNTSIRRYAVSFMKRNLDNDTRYSQFLCPGPTITSSSPLSAFMSNCLF</t>
        </is>
      </c>
      <c r="AE229" s="5" t="inlineStr">
        <is>
          <t>Thermoleophilaceae bacterium</t>
        </is>
      </c>
      <c r="AF229" s="5" t="n">
        <v>2732252</v>
      </c>
      <c r="AG229" s="5" t="inlineStr">
        <is>
          <t>seq_in_supp</t>
        </is>
      </c>
      <c r="AH229" s="5" t="inlineStr">
        <is>
          <t>ncbi</t>
        </is>
      </c>
      <c r="AI229" s="5" t="n"/>
      <c r="AJ229" s="5" t="n"/>
      <c r="AK229" s="5" t="n"/>
      <c r="AL229" s="5" t="n">
        <v>1</v>
      </c>
    </row>
    <row r="230" ht="15" customHeight="1" s="12">
      <c r="A230" s="5" t="inlineStr">
        <is>
          <t>retrieving_only</t>
        </is>
      </c>
      <c r="B230" s="5" t="inlineStr">
        <is>
          <t>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inlineStr">
        <is>
          <t>LCP_STRK3</t>
        </is>
      </c>
      <c r="Z230" s="5" t="inlineStr">
        <is>
          <t>AAR25849.1</t>
        </is>
      </c>
      <c r="AA230" s="5" t="inlineStr">
        <is>
          <t>Direct</t>
        </is>
      </c>
      <c r="AB230" s="5" t="n">
        <v>123</v>
      </c>
      <c r="AC230" s="5" t="inlineStr">
        <is>
          <t>10.1021/bm0496110; 10.1128/aem.01001-08; 10.1002/mbo3.3</t>
        </is>
      </c>
      <c r="AD230" s="5" t="inlineStr">
        <is>
          <t>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</t>
        </is>
      </c>
      <c r="AE230" s="5" t="inlineStr">
        <is>
          <t>Streptomyces sp. K30</t>
        </is>
      </c>
      <c r="AF230" s="5" t="n">
        <v>256642</v>
      </c>
      <c r="AG230" s="5" t="inlineStr">
        <is>
          <t>supp_unavailable</t>
        </is>
      </c>
      <c r="AH230" s="5" t="inlineStr">
        <is>
          <t>ncbi</t>
        </is>
      </c>
      <c r="AI230" s="5" t="n"/>
      <c r="AJ230" s="5" t="n"/>
      <c r="AK230" s="5" t="n"/>
      <c r="AL230" s="5" t="n">
        <v>1</v>
      </c>
    </row>
    <row r="231" ht="15" customHeight="1" s="12">
      <c r="A231" s="5" t="inlineStr">
        <is>
          <t>retrieving_only</t>
        </is>
      </c>
      <c r="B231" s="5" t="inlineStr">
        <is>
          <t>MAMQLNKTQASPVAGHASRVWTRAIAAASLGILTAIAVPGPAMAADNPYQRGPDPTRDSVAASRGTFATASTTVGSGNGFGAGFIYYPTDTSQGTFGAVAIVPGYTATWAAEGAWMGHWLASFGFVVIGIDTINRNDWDTARGTQLLAALDYLTQRSTVRDRVDASRLAVMGHSMGGGGAMYAALQRPSLKAAVGLAPFSPSQNLNGMRVPTMLLAGQHDTTTTPASITSLYNGIPAATEKAYLELSGAGHGFPTSNNSVMMRKVIPWLKIFVDSDVRYTQFLCPLMDNTGIRSYQSTCPLLPGTPTPPNRYEAETSPAVCTGTIASNHTGYSGTGFCDGNNATNAYAQFTVNASAAGSMTLRVRFANGTTTARPASLIVNGSTVQTPSFEGTGAWTTWATKTLTVTLNAGNNTIRFNPTTANGLPNLDYIEIAAP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>
        <v>407</v>
      </c>
      <c r="Z231" s="5" t="inlineStr">
        <is>
          <t>WP_162908185.1</t>
        </is>
      </c>
      <c r="AA231" s="5" t="inlineStr">
        <is>
          <t>Direct</t>
        </is>
      </c>
      <c r="AB231" s="5" t="n">
        <v>144</v>
      </c>
      <c r="AC231" s="5" t="inlineStr">
        <is>
          <t>10.1038/s41467-022-35237-x</t>
        </is>
      </c>
      <c r="AD231" s="5" t="inlineStr">
        <is>
          <t>MAMQLNKTQASPVAGHASRVWTRAIAAASLGILTAIAVPGPAMAADNPYQRGPDPTRDSVAASRGTFATASTTVGSGNGFGAGFIYYPTDTSQGTFGAVAIVPGYTATWAAEGAWMGHWLASFGFVVIGIDTINRNDWDTARGTQLLAALDYLTQRSTVRDRVDASRLAVMGHSMGGGGAMYAALQRPSLKAAVGLAPFSPSQNLNGMRVPTMLLAGQHDTTTTPASITSLYNGIPAATEKAYLELSGAGHGFPTSNNSVMMRKVIPWLKIFVDSDVRYTQFLCPLMDNTGIRSYQSTCPLLPGTPTPPNRYEAETSPAVCTGTIASNHTGYSGTGFCDGNNATNAYAQFTVNASAAGSMTLRVRFANGTTTARPASLIVNGSTVQTPSFEGTGAWTTWATKTLTVTLNAGNNTIRFNPTTANGLPNLDYIEIAAP</t>
        </is>
      </c>
      <c r="AE231" s="5" t="inlineStr">
        <is>
          <t>Allorhizocola rhizosphaerae</t>
        </is>
      </c>
      <c r="AF231" s="5" t="n">
        <v>1872709</v>
      </c>
      <c r="AG231" s="5" t="inlineStr">
        <is>
          <t>supp_unavailable</t>
        </is>
      </c>
      <c r="AH231" s="5" t="inlineStr">
        <is>
          <t>ncbi</t>
        </is>
      </c>
      <c r="AI231" s="5" t="n"/>
      <c r="AJ231" s="5" t="n"/>
      <c r="AK231" s="5" t="n"/>
      <c r="AL231" s="5" t="n">
        <v>1</v>
      </c>
    </row>
    <row r="232" ht="15" customHeight="1" s="12">
      <c r="A232" s="5" t="inlineStr">
        <is>
          <t>retrieving_only</t>
        </is>
      </c>
      <c r="B232" s="5" t="inlineStr">
        <is>
          <t>MALVTALALVTGVGTAPAFADEIGQAPTAANITGDGSFSTSSSAIFGQSGFGGGTAYYPNTAGKYPVVAFAPGFLSDWNALNWLGPRVASWGFVVVGVNTNTPFDFPDARGDQLLAALNWAVNSAPAAVRDKADGSRRGVSGWSMGGGGTLEALAKDTTGTVKAGVPLAPWHTNKTWSKVTEPVFIIGGQNDSVAAPASHAIPFYNSLGGPKSYLERAGADHFFPTKSNGTVSRAVVSFFKRHVSADTRFTPFLCGFSGLDVSNFRSNSC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inlineStr">
        <is>
          <t>KbPETase</t>
        </is>
      </c>
      <c r="Z232" s="5" t="inlineStr">
        <is>
          <t>WP_209642273.1</t>
        </is>
      </c>
      <c r="AA232" s="5" t="inlineStr">
        <is>
          <t>Direct</t>
        </is>
      </c>
      <c r="AB232" s="5" t="n">
        <v>257</v>
      </c>
      <c r="AC232" s="5" t="inlineStr">
        <is>
          <t>10.1038/s41467-025-61599-z</t>
        </is>
      </c>
      <c r="AD232" s="5" t="inlineStr">
        <is>
          <t>MALVTALALVTGVGTAPAFADEIGQAPTAANITGDGSFSTSSSAIFGQSGFGGGTAYYPNTAGKYPVVAFAPGFLSDWNALNWLGPRVASWGFVVVGVNTNTPFDFPDARGDQLLAALNWAVNSAPAAVRDKADGSRRGVSGWSMGGGGTLEALAKDTTGTVKAGVPLAPWHTNKTWSKVTEPVFIIGGQNDSVAAPASHAIPFYNSLGGPKSYLERAGADHFFPTKSNGTVSRAVVSFFKRHVSADTRFTPFLCGFSGLDVSNFRSNSC</t>
        </is>
      </c>
      <c r="AE232" s="5" t="inlineStr">
        <is>
          <t>Kibdelosporangium banguiense</t>
        </is>
      </c>
      <c r="AF232" s="5" t="n">
        <v>1365924</v>
      </c>
      <c r="AG232" s="5" t="inlineStr">
        <is>
          <t>supp_unavailable</t>
        </is>
      </c>
      <c r="AH232" s="5" t="inlineStr">
        <is>
          <t>ncbi</t>
        </is>
      </c>
      <c r="AI232" s="5" t="n"/>
      <c r="AJ232" s="5" t="n"/>
      <c r="AK232" s="5" t="n"/>
      <c r="AL232" s="5" t="n">
        <v>1</v>
      </c>
    </row>
    <row r="233" ht="15" customHeight="1" s="12">
      <c r="A233" s="5" t="inlineStr">
        <is>
          <t>retrieving_only</t>
        </is>
      </c>
      <c r="B233" s="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inlineStr">
        <is>
          <t>CYP450</t>
        </is>
      </c>
      <c r="Z233" s="5" t="inlineStr">
        <is>
          <t>P08684.4</t>
        </is>
      </c>
      <c r="AA233" s="5" t="inlineStr">
        <is>
          <t>Direct</t>
        </is>
      </c>
      <c r="AB233" s="5" t="n">
        <v>252</v>
      </c>
      <c r="AC233" s="5" t="inlineStr">
        <is>
          <t>10.1021/acs.est.4c02132</t>
        </is>
      </c>
      <c r="AD233" s="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AE233" s="5" t="inlineStr">
        <is>
          <t>Homo sapiens</t>
        </is>
      </c>
      <c r="AF233" s="5" t="n">
        <v>9606</v>
      </c>
      <c r="AG233" s="5" t="inlineStr">
        <is>
          <t>supp_unavailable</t>
        </is>
      </c>
      <c r="AH233" s="5" t="inlineStr">
        <is>
          <t>ncbi</t>
        </is>
      </c>
      <c r="AI233" s="5" t="n"/>
      <c r="AJ233" s="5" t="n"/>
      <c r="AK233" s="5" t="n"/>
      <c r="AL233" s="5" t="n">
        <v>1</v>
      </c>
    </row>
    <row r="234" ht="15" customHeight="1" s="12">
      <c r="A234" s="5" t="inlineStr">
        <is>
          <t>retrieving_only</t>
        </is>
      </c>
      <c r="B234" s="5" t="inlineStr">
        <is>
          <t>MADAGADAPGGRADAVNGAAPASPGRRITDVGGVMVGHHHRVDDDATVGGEQPGTGWASGTTVVRIPAGSVTAVDVRGGGPGTRETDLLDPVNTVLGAHAIVLTGGSAYGLAAADGVMSALESEGVGLPMDLHGHVVPIVPAAVIFDLLVGDWAKRPDADFGARALAAAAVDFEVGSVGGGTGARAGCLKGGIGTASVTLAEGPGAGVTVGALVVANPVGDVLDPETGLPWGASESMLSRFGLTRPTDDDISALADLKAKQTVLNTTIGVVAVDAKLDVASTKRIAMSAHDGLARAIRPAHSPLDGDTLFAVATGAVEVERSPLVPPGMNPDVALVGMLGAAAADMVAEAIVDAVVNATSVAGVSSMREVVGSAFR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inlineStr">
        <is>
          <t>Nyl93</t>
        </is>
      </c>
      <c r="Z234" s="5" t="inlineStr">
        <is>
          <t>WP_170196788.1</t>
        </is>
      </c>
      <c r="AA234" s="5" t="inlineStr">
        <is>
          <t>Direct</t>
        </is>
      </c>
      <c r="AB234" s="5" t="n">
        <v>380</v>
      </c>
      <c r="AC234" s="5" t="inlineStr">
        <is>
          <t>10.1016/j.checat.2025.101418</t>
        </is>
      </c>
      <c r="AD234" s="5" t="inlineStr">
        <is>
          <t>MADAGADAPGGRADAVNGAAPASPGRRITDVGGVMVGHHHRVDDDATVGGEQPGTGWASGTTVVRIPAGSVTAVDVRGGGPGTRETDLLDPVNTVLGAHAIVLTGGSAYGLAAADGVMSALESEGVGLPMDLHGHVVPIVPAAVIFDLLVGDWAKRPDADFGARALAAAAVDFEVGSVGGGTGARAGCLKGGIGTASVTLAEGPGAGVTVGALVVANPVGDVLDPETGLPWGASESMLSRFGLTRPTDDDISALADLKAKQTVLNTTIGVVAVDAKLDVASTKRIAMSAHDGLARAIRPAHSPLDGDTLFAVATGAVEVERSPLVPPGMNPDVALVGMLGAAAADMVAEAIVDAVVNATSVAGVSSMREVVGSAFR</t>
        </is>
      </c>
      <c r="AE234" s="5" t="inlineStr">
        <is>
          <t>Gordonia asplenii</t>
        </is>
      </c>
      <c r="AF234" s="5" t="n">
        <v>2725283</v>
      </c>
      <c r="AG234" s="5" t="inlineStr">
        <is>
          <t>supp_unavailable</t>
        </is>
      </c>
      <c r="AH234" s="5" t="inlineStr">
        <is>
          <t>ncbi</t>
        </is>
      </c>
      <c r="AI234" s="5" t="n"/>
      <c r="AJ234" s="5" t="n"/>
      <c r="AK234" s="5" t="n"/>
      <c r="AL234" s="5" t="n">
        <v>1</v>
      </c>
    </row>
    <row r="235" ht="15" customHeight="1" s="12">
      <c r="A235" s="5" t="inlineStr">
        <is>
          <t>retrieving_only</t>
        </is>
      </c>
      <c r="B235" s="5" t="inlineStr">
        <is>
          <t>MAASSTDNILHFDFPEVQIGTAINPEGPTGITLFYFPKGVQASVDIQGGSVGTFFTQEKMQQGEAYLDGVAFTGGGILGLEAVAGAVSSLFADQTKNEVQFRRMPLISGAVIFDYTPRQNMIYPDKALGQKAFAALSAGQFVQGRHGAGVSASVGKLLRDGFQLAGQGGAFAQIGKTKIAVFTVVNAVGVILDEKGEVIYGLPKGATKQTLNQQVTELLQQPKKPFWPEPKNTTLTIVITNEKLAPRHLKQLGRQVHHALSQVIHPYATILDGDVLYTVSTRSIESDLYAPGADIESDLNAKFIYLGMVAGELAKQAVWSAVGYSHRP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inlineStr">
        <is>
          <t>Nyl12</t>
        </is>
      </c>
      <c r="Z235" s="5" t="inlineStr">
        <is>
          <t>A0A1Q3SHB0</t>
        </is>
      </c>
      <c r="AA235" s="5" t="inlineStr">
        <is>
          <t>Direct</t>
        </is>
      </c>
      <c r="AB235" s="5" t="n">
        <v>346</v>
      </c>
      <c r="AC235" s="5" t="inlineStr">
        <is>
          <t>10.1016/j.checat.2025.101418</t>
        </is>
      </c>
      <c r="AD235" s="5" t="inlineStr">
        <is>
          <t>MAASSTDNILHFDFPEVQIGTAINPEGPTGITLFYFPKGVQASVDIQGGSVGTFFTQEKMQQGEAYLDGVAFTGGGILGLEAVAGAVSSLFADQTKNEVQFRRMPLISGAVIFDYTPRQNMIYPDKALGQKAFAALSAGQFVQGRHGAGVSASVGKLLRDGFQLAGQGGAFAQIGKTKIAVFTVVNAVGVILDEKGEVIYGLPKGATKQTLNQQVTELLQQPKKPFWPEPKNTTLTIVITNEKLAPRHLKQLGRQVHHALSQVIHPYATILDGDVLYTVSTRSIESDLYAPGADIESDLNAKFIYLGMVAGELAKQAVWSAVGYSHRP</t>
        </is>
      </c>
      <c r="AE235" s="5" t="inlineStr">
        <is>
          <t>Gammaproteobacteria bacterium 39-13</t>
        </is>
      </c>
      <c r="AF235" s="5" t="n">
        <v>1895767</v>
      </c>
      <c r="AG235" s="5" t="inlineStr">
        <is>
          <t>supp_unavailable</t>
        </is>
      </c>
      <c r="AH235" s="5" t="inlineStr">
        <is>
          <t>uniparc</t>
        </is>
      </c>
      <c r="AI235" s="5" t="n"/>
      <c r="AJ235" s="5" t="n"/>
      <c r="AK235" s="5" t="n"/>
      <c r="AL235" s="5" t="n">
        <v>1</v>
      </c>
    </row>
    <row r="236" ht="15" customHeight="1" s="12">
      <c r="A236" s="5" t="inlineStr">
        <is>
          <t>retrieving_only</t>
        </is>
      </c>
      <c r="B236" s="5" t="inlineStr">
        <is>
          <t>MAAGPAAVAADNPYQRGPDPTPASVAAPNGPFATAQVSVPPGYGFNGGMIYYPTDTSQGTFGAIAISPGYTALFSVELAWMGPRLASQGFVVIGIETNDRNDFDTARGTQLLAALDYLTGQSSVRSRVDPNRLAVAGHSMGGGGAFSAALRRPALKAAVGFTPFSPSQNLTNMQVPALLYSGQYDTVTTPSSVSNLYNGLPSTTEGAYIEAAGLDHSFPTRPNTLLMRTMIPWVKIFLDNDLRYTQFLCPLMDSSGVLQYRNTCPLVPPGLPSPSPTTAPPTTAPPTTAPPPTTAPPPTTAPPPTTAPPPTTNPPAGACSVSYTTNQWPGGFTRDVRITNTGGSVSSWTLAFTAGSNVSLSNGWNGDWSQSGSQITVRNAAWNGSLASGATVSIGFQGTFSGSTLPPLSNITLNGAACAS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inlineStr">
        <is>
          <t>DP068</t>
        </is>
      </c>
      <c r="Z236" s="5" t="inlineStr">
        <is>
          <t>MGYP000271253724</t>
        </is>
      </c>
      <c r="AA236" s="5" t="inlineStr">
        <is>
          <t>Direct</t>
        </is>
      </c>
      <c r="AB236" s="5" t="n">
        <v>397</v>
      </c>
      <c r="AC236" s="5" t="inlineStr">
        <is>
          <t>10.1021/acscatal.5c03460</t>
        </is>
      </c>
      <c r="AD236" s="5" t="inlineStr">
        <is>
          <t>MAAGPAAVAADNPYQRGPDPTPASVAAPNGPFATAQVSVPPGYGFNGGMIYYPTDTSQGTFGAIAISPGYTALFSVELAWMGPRLASQGFVVIGIETNDRNDFDTARGTQLLAALDYLTGQSSVRSRVDPNRLAVAGHSMGGGGAFSAALRRPALKAAVGFTPFSPSQNLTNMQVPALLYSGQYDTVTTPSSVSNLYNGLPSTTEGAYIEAAGLDHSFPTRPNTLLMRTMIPWVKIFLDNDLRYTQFLCPLMDSSGVLQYRNTCPLVPPGLPSPSPTTAPPTTAPPTTAPPPTTAPPPTTAPPPTTAPPPTTNPPAGACSVSYTTNQWPGGFTRDVRITNTGGSVSSWTLAFTAGSNVSLSNGWNGDWSQSGSQITVRNAAWNGSLASGATVSIGFQGTFSGSTLPPLSNITLNGAACAS</t>
        </is>
      </c>
      <c r="AE236" s="5" t="inlineStr">
        <is>
          <t>Marine metagenome</t>
        </is>
      </c>
      <c r="AF236" s="5" t="n"/>
      <c r="AG236" s="5" t="inlineStr">
        <is>
          <t>acc_in_supp</t>
        </is>
      </c>
      <c r="AH236" s="5" t="inlineStr">
        <is>
          <t>mgnify</t>
        </is>
      </c>
      <c r="AI236" s="5" t="n"/>
      <c r="AJ236" s="5" t="n"/>
      <c r="AK236" s="5" t="n"/>
      <c r="AL236" s="5" t="n">
        <v>1</v>
      </c>
    </row>
    <row r="237" ht="15" customHeight="1" s="12">
      <c r="A237" s="5" t="inlineStr">
        <is>
          <t>retrieving_only</t>
        </is>
      </c>
      <c r="B237" s="5" t="inlineStr">
        <is>
          <t>MAAGIVATSPAAVAADNPYERGPDPTPASVAAPNGPFATAQVSVPPGYGFNGGMIYYPTDTSQGTFGAIAISPGYTALFSVELAWMGPRLASQGFVVIGIETNDRNDFDTARGTQLLAALDYLTGQSSVRSRVDPNRLAVAGHSMGGGGAFSAALRRPALKAAVGFTPFSPSQNLTNMQVPALLYSGQNDTVTTPSSVSNLYNGLPSTTEGAYLEAAGLDHSFPTRPNTLLMRTMIPWVKIFLDNDLRYTQFLCPLMDSSGVLQYRNTCPLVPPGLPSPSPTTAPPTTAPPTTAPPTTAPPTTAPPTTAPPTTAPPAGACTATYQTIGSWPGGFQGEVTVRAGNSAINGWTVGWSLGSGQSITQIWNGTLSTSGSSVSVRNVSYNGSLPAAGTVTFGFLGSGSPSTPSTVTCTSP</t>
        </is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inlineStr">
        <is>
          <t>ESM012</t>
        </is>
      </c>
      <c r="Z237" s="5" t="inlineStr">
        <is>
          <t>WBC00352.1</t>
        </is>
      </c>
      <c r="AA237" s="5" t="inlineStr">
        <is>
          <t>Direct</t>
        </is>
      </c>
      <c r="AB237" s="5" t="n">
        <v>408</v>
      </c>
      <c r="AC237" s="5" t="inlineStr">
        <is>
          <t>10.1021/acscatal.5c03460</t>
        </is>
      </c>
      <c r="AD237" s="5" t="inlineStr">
        <is>
          <t>MAAGIVATSPAAVAADNPYERGPDPTPASVAAPNGPFATAQVSVPPGYGFNGGMIYYPTDTSQGTFGAIAISPGYTALFSVELAWMGPRLASQGFVVIGIETNDRNDFDTARGTQLLAALDYLTGQSSVRSRVDPNRLAVAGHSMGGGGAFSAALRRPALKAAVGFTPFSPSQNLTNMQVPALLYSGQNDTVTTPSSVSNLYNGLPSTTEGAYLEAAGLDHSFPTRPNTLLMRTMIPWVKIFLDNDLRYTQFLCPLMDSSGVLQYRNTCPLVPPGLPSPSPTTAPPTTAPPTTAPPTTAPPTTAPPTTAPPTTAPPAGACTATYQTIGSWPGGFQGEVTVRAGNSAINGWTVGWSLGSGQSITQIWNGTLSTSGSSVSVRNVSYNGSLPAAGTVTFGFLGSGSPSTPSTVTCTSP</t>
        </is>
      </c>
      <c r="AE237" s="5" t="inlineStr">
        <is>
          <t>Solwaraspora sp. WMMA2059</t>
        </is>
      </c>
      <c r="AF237" s="5" t="n">
        <v>3015160</v>
      </c>
      <c r="AG237" s="5" t="inlineStr">
        <is>
          <t>seq_in_supp</t>
        </is>
      </c>
      <c r="AH237" s="5" t="inlineStr">
        <is>
          <t>ncbi</t>
        </is>
      </c>
      <c r="AI237" s="5" t="n"/>
      <c r="AJ237" s="5" t="n"/>
      <c r="AK237" s="5" t="n"/>
      <c r="AL237" s="5" t="n">
        <v>1</v>
      </c>
    </row>
    <row r="238" ht="15" customHeight="1" s="12">
      <c r="A238" s="5" t="inlineStr">
        <is>
          <t>retrieving_only</t>
        </is>
      </c>
      <c r="B238" s="5" t="inlineStr">
        <is>
          <t>MAADNPYQRGPNPTSASVAASRGTFATAELSVPRGNGFGGGKIYYPTDTTQGTFGAIAIVPGYTATWAAEGAWMGHWLASFGFVVIGIDTNSRNDNDTARGTQLLAALDYLTQRSSVRGRVDAKRLAVMGHSMGGGGALVAARQRPSLKAAVGLAPFKPSGPPSADRVPTMVIAGQRDGTVTPSYVDGLYRAIPAGTEKAYLEFAGAGHAFPTRPNPLQMRLVIPWLKSFTDHDTRYHQFLCPLKDRTGVTAYRSTCPLVAPGARD</t>
        </is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inlineStr">
        <is>
          <t>TEP041</t>
        </is>
      </c>
      <c r="Z238" s="5" t="inlineStr">
        <is>
          <t>WP_256510026.1</t>
        </is>
      </c>
      <c r="AA238" s="5" t="inlineStr">
        <is>
          <t>Direct</t>
        </is>
      </c>
      <c r="AB238" s="5" t="n">
        <v>457</v>
      </c>
      <c r="AC238" s="5" t="inlineStr">
        <is>
          <t>10.1021/acscatal.5c03460</t>
        </is>
      </c>
      <c r="AD238" s="5" t="inlineStr">
        <is>
          <t>MAADNPYQRGPNPTSASVAASRGTFATAELSVPRGNGFGGGKIYYPTDTTQGTFGAIAIVPGYTATWAAEGAWMGHWLASFGFVVIGIDTNSRNDNDTARGTQLLAALDYLTQRSSVRGRVDAKRLAVMGHSMGGGGALVAARQRPSLKAAVGLAPFKPSGPPSADRVPTMVIAGQRDGTVTPSYVDGLYRAIPAGTEKAYLEFAGAGHAFPTRPNPLQMRLVIPWLKSFTDHDTRYHQFLCPLKDRTGVTAYRSTCPLVAPGARD</t>
        </is>
      </c>
      <c r="AE238" s="5" t="inlineStr">
        <is>
          <t>Crossiella sp. SN42</t>
        </is>
      </c>
      <c r="AF238" s="5" t="n">
        <v>2944808</v>
      </c>
      <c r="AG238" s="5" t="inlineStr">
        <is>
          <t>seq_in_supp</t>
        </is>
      </c>
      <c r="AH238" s="5" t="inlineStr">
        <is>
          <t>ncbi</t>
        </is>
      </c>
      <c r="AI238" s="5" t="n"/>
      <c r="AJ238" s="5" t="n"/>
      <c r="AK238" s="5" t="n"/>
      <c r="AL238" s="5" t="n">
        <v>1</v>
      </c>
    </row>
    <row r="239" ht="15" customHeight="1" s="12">
      <c r="A239" s="5" t="inlineStr">
        <is>
          <t>retrieving_only</t>
        </is>
      </c>
      <c r="B239" s="5" t="inlineStr">
        <is>
          <t>MAAAAAALLADSPSALAASYQRGPDPTVQSVAANRGTFATAELTVPRGFGFNGGKIYYPTDTSQGTWGAIAAVPGYTASWAAEGAWMGPWLASFGFVVIGIDTNSPTDYDTARGTQLLAALDYLTGQSAVRDRVDPNRLAVLGHSMGGGGAISAAMRRPSLKAAVPLAPASFSQNLSNVRVPTLIMGARDDGTITPSSIDGLWSSKPATTQGARVELASGGHGFPTWGNSQVTRREIPWLKIFLDNDNRYAQFLCPSLADSTGVSRYISQCPYGSTGQPSSPPVSSPPAAGGPVRAVGAGKCLDVPNASQTNDTQLAIWDCNGGSNQQWTYTSGKQLRVYGGKCLDASGHGMSNGTRVIIWDCGGGANQQWNVNANGTITGVESGLCLDVTGAATANGALVDLWACNNGGNQQWRLG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inlineStr">
        <is>
          <t>ESM097</t>
        </is>
      </c>
      <c r="Z239" s="5" t="inlineStr">
        <is>
          <t>WP_271190254.1</t>
        </is>
      </c>
      <c r="AA239" s="5" t="inlineStr">
        <is>
          <t>Direct</t>
        </is>
      </c>
      <c r="AB239" s="5" t="n">
        <v>435</v>
      </c>
      <c r="AC239" s="5" t="inlineStr">
        <is>
          <t>10.1021/acscatal.5c03460</t>
        </is>
      </c>
      <c r="AD239" s="5" t="inlineStr">
        <is>
          <t>MAAAAAALLADSPSALAASYQRGPDPTVQSVAANRGTFATAELTVPRGFGFNGGKIYYPTDTSQGTWGAIAAVPGYTASWAAEGAWMGPWLASFGFVVIGIDTNSPTDYDTARGTQLLAALDYLTGQSAVRDRVDPNRLAVLGHSMGGGGAISAAMRRPSLKAAVPLAPASFSQNLSNVRVPTLIMGARDDGTITPSSIDGLWSSKPATTQGARVELASGGHGFPTWGNSQVTRREIPWLKIFLDNDNRYAQFLCPSLADSTGVSRYISQCPYGSTGQPSSPPVSSPPAAGGPVRAVGAGKCLDVPNASQTNDTQLAIWDCNGGSNQQWTYTSGKQLRVYGGKCLDASGHGMSNGTRVIIWDCGGGANQQWNVNANGTITGVESGLCLDVTGAATANGALVDLWACNNGGNQQWRLG</t>
        </is>
      </c>
      <c r="AE239" s="5" t="inlineStr">
        <is>
          <t>Dactylosporangium matsuzakiense</t>
        </is>
      </c>
      <c r="AF239" s="5" t="n">
        <v>53360</v>
      </c>
      <c r="AG239" s="5" t="inlineStr">
        <is>
          <t>seq_in_supp</t>
        </is>
      </c>
      <c r="AH239" s="5" t="inlineStr">
        <is>
          <t>ncbi</t>
        </is>
      </c>
      <c r="AI239" s="5" t="n"/>
      <c r="AJ239" s="5" t="n"/>
      <c r="AK239" s="5" t="n"/>
      <c r="AL239" s="5" t="n">
        <v>1</v>
      </c>
    </row>
    <row r="240" ht="15" customHeight="1" s="12">
      <c r="A240" s="5" t="inlineStr">
        <is>
          <t>retrieving_only</t>
        </is>
      </c>
      <c r="B240" s="5" t="inlineStr">
        <is>
          <t>LSVTSRALALGTALLLAHTAHAAPAPNVPGGERVCAYTSGLSSLSYASARVTYPCTLSKAAYPATTLTGGFSNTKEQMTWLSEHLSSHGYIVITITPRNIFGAPTGWESAHKAGIAKLRSERSRRASPLYNKLDPSKFALTGFSMGGGGALLAAADLGSQVKVAVPMAPFLGSNNPNYSAITAKVLIQAGANDTVANPSTVASYYQSLPTGISRALTTFRSASHLDWINTGNTNRQARLKTLVTSWLKVYLDGNSDYATYLDGAEHSRHLAEDWFTRFEYVR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inlineStr">
        <is>
          <t>GlacPETase</t>
        </is>
      </c>
      <c r="Z240" s="5" t="n"/>
      <c r="AA240" s="5" t="inlineStr">
        <is>
          <t>Direct</t>
        </is>
      </c>
      <c r="AB240" s="5" t="n">
        <v>202</v>
      </c>
      <c r="AC240" s="5" t="inlineStr">
        <is>
          <t>10.1111/1462-2920.16516</t>
        </is>
      </c>
      <c r="AD240" s="5" t="inlineStr">
        <is>
          <t>LSVTSRALALGTALLLAHTAHAAPAPNVPGGERVCAYTSGLSSLSYASARVTYPCTLSKAAYPATTLTGGFSNTKEQMTWLSEHLSSHGYIVITITPRNIFGAPTGWESAHKAGIAKLRSERSRRASPLYNKLDPSKFALTGFSMGGGGALLAAADLGSQVKVAVPMAPFLGSNNPNYSAITAKVLIQAGANDTVANPSTVASYYQSLPTGISRALTTFRSASHLDWINTGNTNRQARLKTLVTSWLKVYLDGNSDYATYLDGAEHSRHLAEDWFTRFEYVR</t>
        </is>
      </c>
      <c r="AE240" s="5" t="n"/>
      <c r="AF240" s="5" t="n"/>
      <c r="AG240" s="5" t="n"/>
      <c r="AH240" s="5" t="n"/>
      <c r="AI240" s="5" t="n"/>
      <c r="AJ240" s="5" t="n"/>
      <c r="AK240" s="5" t="n"/>
      <c r="AL240" s="5" t="n">
        <v>1</v>
      </c>
    </row>
    <row r="241" ht="15" customHeight="1" s="12">
      <c r="A241" s="5" t="inlineStr">
        <is>
          <t>retrieving_only</t>
        </is>
      </c>
      <c r="B241" s="5" t="inlineStr">
        <is>
          <t>MADRVRPLRSPHRGILAALTAVATAATIAAGGVTTATAAENPYERGPDPTVASIEAPRGPFAIAETRVSSLSVRGFGGGTIYYPTSTREGTFGAVAIAPGYTADQSSMSWYGPRLASQGFVIFTIDTNSRYDQPASRGAQLLAALDYLVRESSVRSRIDGNRLGVMGHSMGGGGALEAVNDRPALQAAIPLTAWNLDKTWQGVRVPTMIIGAENDSVAPVRSHSMPFYTSLPSTLDKAYLELDNASHFAPNVSNTTIAKYSISWLKRFIDNDTRYERFLCPAPRDSTISEYRDTCPHSS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>
        <v>282</v>
      </c>
      <c r="Z241" s="5" t="inlineStr">
        <is>
          <t>WP_092528534.1</t>
        </is>
      </c>
      <c r="AA241" s="5" t="inlineStr">
        <is>
          <t>Direct</t>
        </is>
      </c>
      <c r="AB241" s="5" t="n">
        <v>331</v>
      </c>
      <c r="AC241" s="5" t="inlineStr">
        <is>
          <t>10.1126/science.adp5637</t>
        </is>
      </c>
      <c r="AD241" s="5" t="inlineStr">
        <is>
          <t>MADRVRPLRSPHRGILAALTAVATAATIAAGGVTTATAAENPYERGPDPTVASIEAPRGPFAIAETRVSSLSVRGFGGGTIYYPTSTREGTFGAVAIAPGYTADQSSMSWYGPRLASQGFVIFTIDTNSRYDQPASRGAQLLAALDYLVRESSVRSRIDGNRLGVMGHSMGGGGALEAVNDRPALQAAIPLTAWNLDKTWQGVRVPTMIIGAENDSVAPVRSHSMPFYTSLPSTLDKAYLELDNASHFAPNVSNTTIAKYSISWLKRFIDNDTRYERFLCPAPRDSTISEYRDTCPHSS</t>
        </is>
      </c>
      <c r="AE241" s="5" t="inlineStr">
        <is>
          <t>Amycolatopsis arida</t>
        </is>
      </c>
      <c r="AF241" s="5" t="n">
        <v>587909</v>
      </c>
      <c r="AG241" s="5" t="inlineStr">
        <is>
          <t>supp_unavailable</t>
        </is>
      </c>
      <c r="AH241" s="5" t="inlineStr">
        <is>
          <t>ncbi</t>
        </is>
      </c>
      <c r="AI241" s="5" t="n"/>
      <c r="AJ241" s="5" t="n"/>
      <c r="AK241" s="5" t="n"/>
      <c r="AL241" s="5" t="n">
        <v>1</v>
      </c>
    </row>
    <row r="242" ht="15" customHeight="1" s="12">
      <c r="A242" s="5" t="inlineStr">
        <is>
          <t>retrieving_only</t>
        </is>
      </c>
      <c r="B242" s="5" t="inlineStr">
        <is>
          <t>LFDNNGNKKQAYDATLSALNAGGTPVSPSPSVSPTAGPSPSTSPSPSPPPGDNPYQRGPDPTRDSVAANRGTFATAEMSVSPGNGFNGGSIYYPTDTSQGTFGAVAIVPGYTARFADEEAWMGHWLASFGFVVIGVETNSTNDFDTARGTQLLAALDWLTQSSPVRDRIDASRQSVIGHSMGGGGALHAAGNRSSLKAAVGLTPFMPSGTPANNQVPTLMIAGTNDTVVAPSYVTDLYNALPSSTERAYMEFVGADHLFPTRPNNLEMRILIPWLKTFVDSDSRYTQFLCPLMDSSGIAGYRNSCPLLPDQPTPPPTPTPSPTTPTPDPTTPGPGTCTATMSTGQVWGDRYNTSVTVTGTSNWTVVVAITPPQRISATWNGNPTWDSSGNVMTIRANGNGNVFGFTTMFNGNSWARPQIRSCTAG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inlineStr">
        <is>
          <t>DP081</t>
        </is>
      </c>
      <c r="Z242" s="5" t="inlineStr">
        <is>
          <t>MGYP000221121644</t>
        </is>
      </c>
      <c r="AA242" s="5" t="inlineStr">
        <is>
          <t>Direct</t>
        </is>
      </c>
      <c r="AB242" s="5" t="n">
        <v>400</v>
      </c>
      <c r="AC242" s="5" t="inlineStr">
        <is>
          <t>10.1021/acscatal.5c03460</t>
        </is>
      </c>
      <c r="AD242" s="5" t="inlineStr">
        <is>
          <t>LFDNNGNKKQAYDATLSALNAGGTPVSPSPSVSPTAGPSPSTSPSPSPPPGDNPYQRGPDPTRDSVAANRGTFATAEMSVSPGNGFNGGSIYYPTDTSQGTFGAVAIVPGYTARFADEEAWMGHWLASFGFVVIGVETNSTNDFDTARGTQLLAALDWLTQSSPVRDRIDASRQSVIGHSMGGGGALHAAGNRSSLKAAVGLTPFMPSGTPANNQVPTLMIAGTNDTVVAPSYVTDLYNALPSSTERAYMEFVGADHLFPTRPNNLEMRILIPWLKTFVDSDSRYTQFLCPLMDSSGIAGYRNSCPLLPDQPTPPPTPTPSPTTPTPDPTTPGPGTCTATMSTGQVWGDRYNTSVTVTGTSNWTVVVAITPPQRISATWNGNPTWDSSGNVMTIRANGNGNVFGFTTMFNGNSWARPQIRSCTAG</t>
        </is>
      </c>
      <c r="AE242" s="5" t="inlineStr">
        <is>
          <t>Marine metagenome</t>
        </is>
      </c>
      <c r="AF242" s="5" t="n"/>
      <c r="AG242" s="5" t="inlineStr">
        <is>
          <t>acc_in_supp</t>
        </is>
      </c>
      <c r="AH242" s="5" t="inlineStr">
        <is>
          <t>mgnify</t>
        </is>
      </c>
      <c r="AI242" s="5" t="n"/>
      <c r="AJ242" s="5" t="n"/>
      <c r="AK242" s="5" t="n"/>
      <c r="AL242" s="5" t="n">
        <v>1</v>
      </c>
    </row>
    <row r="243" ht="15" customHeight="1" s="12">
      <c r="A243" s="5" t="inlineStr">
        <is>
          <t>retrieving_only</t>
        </is>
      </c>
      <c r="B243" s="5" t="inlineStr">
        <is>
          <t>FPTDDDDKIVGGYTCAANSIPYQVSLNSGSHFCGGSLINSQWVVSAAHCYKSRIQVRLGEHNIDVLEGNEQFINAAKIITHPNFNGNTLDNDIMLIKLSSPATLNSRVATVSLPRSCAAAGTECLISGWGNTKSSGSSYPSLLQCLKAPVLSDSSCKSSYPGQITGNMICVGFLEGGKDSCQGDSGGPVVCNGQLQGIVSWGYGCAQKNKPGVYTKVCNYVNWIQQTIAAN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inlineStr">
        <is>
          <t>Trypsin</t>
        </is>
      </c>
      <c r="Z243" s="5" t="inlineStr">
        <is>
          <t>P00761.1</t>
        </is>
      </c>
      <c r="AA243" s="5" t="inlineStr">
        <is>
          <t>Direct</t>
        </is>
      </c>
      <c r="AB243" s="5" t="n">
        <v>251</v>
      </c>
      <c r="AC243" s="5" t="inlineStr">
        <is>
          <t>10.1021/acs.est.4c02132</t>
        </is>
      </c>
      <c r="AD243" s="5" t="inlineStr">
        <is>
          <t>FPTDDDDKIVGGYTCAANSIPYQVSLNSGSHFCGGSLINSQWVVSAAHCYKSRIQVRLGEHNIDVLEGNEQFINAAKIITHPNFNGNTLDNDIMLIKLSSPATLNSRVATVSLPRSCAAAGTECLISGWGNTKSSGSSYPSLLQCLKAPVLSDSSCKSSYPGQITGNMICVGFLEGGKDSCQGDSGGPVVCNGQLQGIVSWGYGCAQKNKPGVYTKVCNYVNWIQQTIAAN</t>
        </is>
      </c>
      <c r="AE243" s="5" t="inlineStr">
        <is>
          <t>Sus scrofa</t>
        </is>
      </c>
      <c r="AF243" s="5" t="n">
        <v>9823</v>
      </c>
      <c r="AG243" s="5" t="inlineStr">
        <is>
          <t>supp_unavailable</t>
        </is>
      </c>
      <c r="AH243" s="5" t="inlineStr">
        <is>
          <t>ncbi</t>
        </is>
      </c>
      <c r="AI243" s="5" t="n"/>
      <c r="AJ243" s="5" t="n"/>
      <c r="AK243" s="5" t="n"/>
      <c r="AL243" s="5" t="n">
        <v>1</v>
      </c>
    </row>
    <row r="244" ht="15" customHeight="1" s="12">
      <c r="A244" s="5" t="inlineStr">
        <is>
          <t>retrieving_only</t>
        </is>
      </c>
      <c r="B244" s="5" t="inlineStr">
        <is>
          <t>SMGESRVILAFGDSLFAGYGLDKGESYPAKLETALRSHGINARIINAGVSGDTTAAGLQRIKFVLDSQPDKPELAIVELGGNDLLRGLSPAEARQNLSGILEELQRRKIPILLMGMRAPPNLGAKYQREFDGIYPYLAEKYDAKLVPFFLEAVADRPDLIQKDHVHPTARGVEELVSATSNAVAKALPAKK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inlineStr">
        <is>
          <t>E4</t>
        </is>
      </c>
      <c r="Z244" s="5" t="inlineStr">
        <is>
          <t>7C2A_A</t>
        </is>
      </c>
      <c r="AA244" s="5" t="inlineStr">
        <is>
          <t>Direct</t>
        </is>
      </c>
      <c r="AB244" s="5" t="n">
        <v>494</v>
      </c>
      <c r="AC244" s="5" t="inlineStr">
        <is>
          <t>10.3390/biology15070540</t>
        </is>
      </c>
      <c r="AD244" s="5" t="inlineStr">
        <is>
          <t>SMGESRVILAFGDSLFAGYGLDKGESYPAKLETALRSHGINARIINAGVSGDTTAAGLQRIKFVLDSQPDKPELAIVELGGNDLLRGLSPAEARQNLSGILEELQRRKIPILLMGMRAPPNLGAKYQREFDGIYPYLAEKYDAKLVPFFLEAVADRPDLIQKDHVHPTARGVEELVSATSNAVAKALPAKK</t>
        </is>
      </c>
      <c r="AE244" s="5" t="inlineStr">
        <is>
          <t>Altericroceibacterium indicum</t>
        </is>
      </c>
      <c r="AF244" s="5" t="n">
        <v>374177</v>
      </c>
      <c r="AG244" s="5" t="inlineStr">
        <is>
          <t>supp_unavailable</t>
        </is>
      </c>
      <c r="AH244" s="5" t="inlineStr">
        <is>
          <t>ncbi</t>
        </is>
      </c>
      <c r="AI244" s="5" t="n"/>
      <c r="AJ244" s="5" t="n"/>
      <c r="AK244" s="5" t="n"/>
      <c r="AL244" s="5" t="n">
        <v>1</v>
      </c>
    </row>
    <row r="245" ht="15" customHeight="1" s="12">
      <c r="A245" s="5" t="inlineStr">
        <is>
          <t>retrieving_only</t>
        </is>
      </c>
      <c r="B245" s="5" t="inlineStr">
        <is>
          <t>SVAA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XDITQGSPFDTGILNALTPQFKRISAVLGDLGFTLARRYFLNHYTGGTKYSFLSKQLSGLPVLGTFHSNDIVFQDYLLGSGSLIYNNAFIAFATDLDPNTAGLLVKWPEYTSSSQSGNNLMMINALGLYTGKDNFRTAGYDALFSNPPSFFV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inlineStr">
        <is>
          <t>CRL</t>
        </is>
      </c>
      <c r="Z245" s="5" t="inlineStr">
        <is>
          <t>CAA34684</t>
        </is>
      </c>
      <c r="AA245" s="5" t="inlineStr">
        <is>
          <t>Direct</t>
        </is>
      </c>
      <c r="AB245" s="5" t="n">
        <v>499</v>
      </c>
      <c r="AC245" s="5" t="inlineStr">
        <is>
          <t>10.1016/j.enzmictec.2010.09.011</t>
        </is>
      </c>
      <c r="AD245" s="5" t="inlineStr">
        <is>
          <t>SVAA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XDITQGSPFDTGILNALTPQFKRISAVLGDLGFTLARRYFLNHYTGGTKYSFLSKQLSGLPVLGTFHSNDIVFQDYLLGSGSLIYNNAFIAFATDLDPNTAGLLVKWPEYTSSSQSGNNLMMINALGLYTGKDNFRTAGYDALFSNPPSFFV</t>
        </is>
      </c>
      <c r="AE245" s="5" t="inlineStr">
        <is>
          <t>Diutina rugosa</t>
        </is>
      </c>
      <c r="AF245" s="5" t="n">
        <v>5481</v>
      </c>
      <c r="AG245" s="5" t="inlineStr">
        <is>
          <t>supp_unavailable</t>
        </is>
      </c>
      <c r="AH245" s="5" t="inlineStr">
        <is>
          <t>ncbi</t>
        </is>
      </c>
      <c r="AI245" s="5" t="n"/>
      <c r="AJ245" s="5" t="n"/>
      <c r="AK245" s="5" t="n"/>
      <c r="AL245" s="5" t="n">
        <v>1</v>
      </c>
    </row>
    <row r="246" ht="15" customHeight="1" s="12">
      <c r="A246" s="5" t="inlineStr">
        <is>
          <t>retrieving_only</t>
        </is>
      </c>
      <c r="B246" s="5" t="inlineStr">
        <is>
          <t>APSAPCSNCTRGPAPTVASLKASSGPFSTAKFSVSGYLRGFGSSTVYYPTNTTGKMGAIAVIPGYLSYESSIEWWGPRLASHGFVVMTMNTNTIYDQPDSRADQLSSALDYLISQSNSRTSPLYNKIDSTRLGAIGWSMGGGGSLKLSTQRSINAIIPQAPWYSGYNTFNQITTPALILACESDVVAPVASHASPFYNRIPNSTPKAFLEINNGSHFCANSGYPDEALLGLYGISWMKRFIDFDTRYSQFLCGPNHTADYSISEYRQNCPY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inlineStr">
        <is>
          <t>jmPE14</t>
        </is>
      </c>
      <c r="Z246" s="5" t="n"/>
      <c r="AA246" s="5" t="inlineStr">
        <is>
          <t>Direct</t>
        </is>
      </c>
      <c r="AB246" s="5" t="n">
        <v>228</v>
      </c>
      <c r="AC246" s="5" t="inlineStr">
        <is>
          <t>10.3389/fbioe.2024.1349010</t>
        </is>
      </c>
      <c r="AD246" s="5" t="inlineStr">
        <is>
          <t>APSAPCSNCTRGPAPTVASLKASSGPFSTAKFSVSGYLRGFGSSTVYYPTNTTGKMGAIAVIPGYLSYESSIEWWGPRLASHGFVVMTMNTNTIYDQPDSRADQLSSALDYLISQSNSRTSPLYNKIDSTRLGAIGWSMGGGGSLKLSTQRSINAIIPQAPWYSGYNTFNQITTPALILACESDVVAPVASHASPFYNRIPNSTPKAFLEINNGSHFCANSGYPDEALLGLYGISWMKRFIDFDTRYSQFLCGPNHTADYSISEYRQNCPY</t>
        </is>
      </c>
      <c r="AE246" s="5" t="n"/>
      <c r="AF246" s="5" t="n"/>
      <c r="AG246" s="5" t="n"/>
      <c r="AH246" s="5" t="n"/>
      <c r="AI246" s="5" t="n"/>
      <c r="AJ246" s="5" t="n"/>
      <c r="AK246" s="5" t="n"/>
      <c r="AL246" s="5" t="n">
        <v>1</v>
      </c>
    </row>
    <row r="247" ht="15" customHeight="1" s="12">
      <c r="A247" s="5" t="inlineStr">
        <is>
          <t>retrieving_only</t>
        </is>
      </c>
      <c r="B247" s="5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inlineStr">
        <is>
          <t>TfH</t>
        </is>
      </c>
      <c r="Z247" s="5" t="inlineStr">
        <is>
          <t>5ZOA_A</t>
        </is>
      </c>
      <c r="AA247" s="5" t="inlineStr">
        <is>
          <t>Direct</t>
        </is>
      </c>
      <c r="AB247" s="5" t="n">
        <v>118</v>
      </c>
      <c r="AC247" s="5" t="inlineStr">
        <is>
          <t>10.1021/bm049582t; 10.1002/marc.200500410</t>
        </is>
      </c>
      <c r="AD247" s="5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AE247" s="5" t="inlineStr">
        <is>
          <t>Thermobifida fusca</t>
        </is>
      </c>
      <c r="AF247" s="5" t="n">
        <v>2021</v>
      </c>
      <c r="AG247" s="5" t="inlineStr">
        <is>
          <t>supp_unavailable</t>
        </is>
      </c>
      <c r="AH247" s="5" t="inlineStr">
        <is>
          <t>ncbi</t>
        </is>
      </c>
      <c r="AI247" s="5" t="n"/>
      <c r="AJ247" s="5" t="n"/>
      <c r="AK247" s="5" t="n"/>
      <c r="AL247" s="5" t="n">
        <v>1</v>
      </c>
    </row>
    <row r="248" ht="15" customHeight="1" s="12">
      <c r="A248" s="5" t="inlineStr">
        <is>
          <t>retrieving_only</t>
        </is>
      </c>
      <c r="B248" s="5" t="inlineStr">
        <is>
          <t>TGLHFRSASELGRMIRRGEISSAELTDHFIQRIETLDGKTNAVVARDFDRARALAKEADAAQARGASLGALHGLPFTIKDAYEVEGIVSTGGNPTWKDHVPTSSATAVERLQRSGAIVMGKTNVPYLSGDLQTYNDIYGTTNNPWALDCGPGGSSGGSAASLAAGFAAAEFGSDIGGSIRTPAHLCGVFGHKPSFGIVPKRGHLSPPPGCLSEGDLSVAGPLARSAEDLKLLLSLTAGPDWADAAGWKLDLPPARARTPRELRAAVWIDDEFCDIDRESADLLRNAAKALQDAGANVDWNARPDFTLAEITECYLILLHSQIGAGMPQSIRDHWAEMKKGFAPDDKSHAALQAIGGTLSLAERAVWKEVQAQLRWKWHTFFKSYDVVLSPVLMRPAFEHNHQSNWHKRELDVNGVKRPYMDVLIWAGPAVVSYLPATAAPVGVTSEGKPVGIQIIGPHLEDYTTIAVAGMFEEILGGFKPPKGWAAALE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inlineStr">
        <is>
          <t>GatA</t>
        </is>
      </c>
      <c r="Z248" s="5" t="n"/>
      <c r="AA248" s="5" t="inlineStr">
        <is>
          <t>Direct</t>
        </is>
      </c>
      <c r="AB248" s="5" t="n">
        <v>220</v>
      </c>
      <c r="AC248" s="5" t="inlineStr">
        <is>
          <t>10.1038/s41467-024-45523-5</t>
        </is>
      </c>
      <c r="AD248" s="5" t="inlineStr">
        <is>
          <t>TGLHFRSASELGRMIRRGEISSAELTDHFIQRIETLDGKTNAVVARDFDRARALAKEADAAQARGASLGALHGLPFTIKDAYEVEGIVSTGGNPTWKDHVPTSSATAVERLQRSGAIVMGKTNVPYLSGDLQTYNDIYGTTNNPWALDCGPGGSSGGSAASLAAGFAAAEFGSDIGGSIRTPAHLCGVFGHKPSFGIVPKRGHLSPPPGCLSEGDLSVAGPLARSAEDLKLLLSLTAGPDWADAAGWKLDLPPARARTPRELRAAVWIDDEFCDIDRESADLLRNAAKALQDAGANVDWNARPDFTLAEITECYLILLHSQIGAGMPQSIRDHWAEMKKGFAPDDKSHAALQAIGGTLSLAERAVWKEVQAQLRWKWHTFFKSYDVVLSPVLMRPAFEHNHQSNWHKRELDVNGVKRPYMDVLIWAGPAVVSYLPATAAPVGVTSEGKPVGIQIIGPHLEDYTTIAVAGMFEEILGGFKPPKGWAAALE</t>
        </is>
      </c>
      <c r="AE248" s="5" t="n"/>
      <c r="AF248" s="5" t="n"/>
      <c r="AG248" s="5" t="n"/>
      <c r="AH248" s="5" t="n"/>
      <c r="AI248" s="5" t="n"/>
      <c r="AJ248" s="5" t="n"/>
      <c r="AK248" s="5" t="n"/>
      <c r="AL248" s="5" t="n">
        <v>1</v>
      </c>
    </row>
    <row r="249" ht="15" customHeight="1" s="12">
      <c r="A249" s="5" t="inlineStr">
        <is>
          <t>retrieving_only</t>
        </is>
      </c>
      <c r="B249" s="5" t="inlineStr">
        <is>
          <t>AETTTQHGPDPTEGSITAPTGPFQTDQKTVPRSSVQGFGGGTIYYPTETSQGTFGAVTIAPGYTAGKESLAWLGPRLASQGFVVFTIDTITTSDQPDSRAKQLMASLDYLTGDSDVRDRIDTSRLAVMGHSMGGGGTLEAARDNRNLKAAIPMTPWDTTKDFSGVQTPTLIIGAQNDTIAPVAQHAKPFYGSLPDDPGKAYLELAGASHFAPNQDNTTIAKSSIAWLKRFVDDDTRYDQFLCPPPQDAEISDYQSTCPY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inlineStr">
        <is>
          <t>TEP037</t>
        </is>
      </c>
      <c r="Z249" s="5" t="inlineStr">
        <is>
          <t>MGYP000321434903</t>
        </is>
      </c>
      <c r="AA249" s="5" t="inlineStr">
        <is>
          <t>Direct</t>
        </is>
      </c>
      <c r="AB249" s="5" t="n">
        <v>456</v>
      </c>
      <c r="AC249" s="5" t="inlineStr">
        <is>
          <t>10.1021/acscatal.5c03460</t>
        </is>
      </c>
      <c r="AD249" s="5" t="inlineStr">
        <is>
          <t>AETTTQHGPDPTEGSITAPTGPFQTDQKTVPRSSVQGFGGGTIYYPTETSQGTFGAVTIAPGYTAGKESLAWLGPRLASQGFVVFTIDTITTSDQPDSRAKQLMASLDYLTGDSDVRDRIDTSRLAVMGHSMGGGGTLEAARDNRNLKAAIPMTPWDTTKDFSGVQTPTLIIGAQNDTIAPVAQHAKPFYGSLPDDPGKAYLELAGASHFAPNQDNTTIAKSSIAWLKRFVDDDTRYDQFLCPPPQDAEISDYQSTCPY</t>
        </is>
      </c>
      <c r="AE249" s="5" t="n"/>
      <c r="AF249" s="5" t="n"/>
      <c r="AG249" s="5" t="inlineStr">
        <is>
          <t>acc_in_supp</t>
        </is>
      </c>
      <c r="AH249" s="5" t="n"/>
      <c r="AI249" s="5" t="n"/>
      <c r="AJ249" s="5" t="inlineStr">
        <is>
          <t>AETTTQHGPDPTEGSITAPTGPFQTDQKTVPRSSVQGFGGGTIYYPTETSQGTFGAVTIAPGYTAGKESLAWLGPRLASQGFVVFTIDTITTSDQPDSRAKQLMASLDYLTGDSDVRDRIDTSRLAVMGHSMGGGGTLEAARDNRNLKAAIPMTPWDTTKDFSGVQTPTLIIGAQNDTIAPVAQHAKPFYGSLPDDPGKAYLELAGASHFAPNQDNTTIAKSSIAWLKRFVDDDTRYDQFLCPPPQDAEISDYQSTCPY</t>
        </is>
      </c>
      <c r="AK249" s="5" t="inlineStr">
        <is>
          <t>MGify says the accession doesn't exist?</t>
        </is>
      </c>
      <c r="AL249" s="5" t="n">
        <v>1</v>
      </c>
    </row>
    <row r="250" ht="15" customHeight="1" s="12">
      <c r="A250" s="5" t="inlineStr">
        <is>
          <t>retrieving_only</t>
        </is>
      </c>
      <c r="B250" s="5" t="inlineStr">
        <is>
          <t>LERSDLDYASATEIARLVRTRQISAADVTEHAISRIEARNGSLNAFVYTDFEQARSRAKDLDTRISAGEDVGPLAGVPTAIKDLFNFYPGWPSTLGGIRCLRDFKLDVKSRYATKMEEAGAVVLGITNSPVLGFRGTTDNDLYGPTRNPFDLSRNSGGSSGGTSAAVADGLLPIGDGTDGGGSIRIPAAWCHVFGFQASPGRIPLAIRPNAFGAAAPFIYEGPITRTVEDAALAMSVLAGSDPADPFSLNDRLDWLGAVDQPITSLRIGFTPDFGGFPVEPAVAATIAHAVRAFEQAGAKIVPLKLDFGYTHDELSQLWCRMISQGTIAVVDSFAENGLHLEPDFPAPVMEWAQKAKNATPLDLHRDQVMRTKVYDVLNAAFSQVDLIAGPTTTCLPTPNGERGMTVGPSEIAGTPINRLIGFCPTFLTNFTGNPAASLPAGLADGLPVGLMLIGPRRDDLTVLSASAAFERVQPWADSYRIPAARPLGSQ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inlineStr">
        <is>
          <t>GatA250</t>
        </is>
      </c>
      <c r="Z250" s="5" t="n"/>
      <c r="AA250" s="5" t="inlineStr">
        <is>
          <t>Direct</t>
        </is>
      </c>
      <c r="AB250" s="5" t="n">
        <v>255</v>
      </c>
      <c r="AC250" s="5" t="inlineStr">
        <is>
          <t>10.1002/biot.202300723</t>
        </is>
      </c>
      <c r="AD250" s="5" t="inlineStr">
        <is>
          <t>LERSDLDYASATEIARLVRTRQISAADVTEHAISRIEARNGSLNAFVYTDFEQARSRAKDLDTRISAGEDVGPLAGVPTAIKDLFNFYPGWPSTLGGIRCLRDFKLDVKSRYATKMEEAGAVVLGITNSPVLGFRGTTDNDLYGPTRNPFDLSRNSGGSSGGTSAAVADGLLPIGDGTDGGGSIRIPAAWCHVFGFQASPGRIPLAIRPNAFGAAAPFIYEGPITRTVEDAALAMSVLAGSDPADPFSLNDRLDWLGAVDQPITSLRIGFTPDFGGFPVEPAVAATIAHAVRAFEQAGAKIVPLKLDFGYTHDELSQLWCRMISQGTIAVVDSFAENGLHLEPDFPAPVMEWAQKAKNATPLDLHRDQVMRTKVYDVLNAAFSQVDLIAGPTTTCLPTPNGERGMTVGPSEIAGTPINRLIGFCPTFLTNFTGNPAASLPAGLADGLPVGLMLIGPRRDDLTVLSASAAFERVQPWADSYRIPAARPLGSQ</t>
        </is>
      </c>
      <c r="AE250" s="5" t="n"/>
      <c r="AF250" s="5" t="n"/>
      <c r="AG250" s="5" t="n"/>
      <c r="AH250" s="5" t="n"/>
      <c r="AI250" s="5" t="n"/>
      <c r="AJ250" s="5" t="n"/>
      <c r="AK250" s="5" t="n"/>
      <c r="AL250" s="5" t="n">
        <v>1</v>
      </c>
    </row>
    <row r="251" ht="15" customHeight="1" s="12">
      <c r="A251" s="5" t="inlineStr">
        <is>
          <t>retrieving_only</t>
        </is>
      </c>
      <c r="B251" s="5" t="inlineStr">
        <is>
          <t>MAELSRRKILISGGALGALGALGVATPAWSWSPSGSIAGAGAGADPRWVWDAEADPLVAALIDRGDVPLVNELLWDWNRNDQPLPAGLPADLRDFMEQARQLPTWADRVKLERAAQFNKSRGIYLNLLNGVGGGMLSTAIPKEARAVYYSKGGADMEDRVAKTSILGFAVGALNAYRPDGDCVVQAVKTRLVHAAVRHLLQQSPHWDGTIPISQEDMLVTWHTLPTFAMRRMRDWQVPMTTADTDAYLHVWQVTAHMLGIRDEYIPATWAAANAQSDQVLPRNMGPTPEGVILTDILLGQLAEQTSPGSISRPLVNALARYLVGDQVADWDKIRREPVWGPLISTVWPLLVKFREGLIPLPLVPETAWVIDEAARQYILFYLTKGKETKIVIPTMNRPE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inlineStr">
        <is>
          <t>lcp3</t>
        </is>
      </c>
      <c r="Z251" s="5" t="inlineStr">
        <is>
          <t>UFE15764.1</t>
        </is>
      </c>
      <c r="AA251" s="5" t="inlineStr">
        <is>
          <t>Indirect</t>
        </is>
      </c>
      <c r="AB251" s="5" t="n"/>
      <c r="AC251" s="5" t="inlineStr">
        <is>
          <t>10.3389/fmicb.2022.854427</t>
        </is>
      </c>
      <c r="AD251" s="5" t="inlineStr">
        <is>
          <t>MAELSRRKILISGGALGALGALGVATPAWSWSPSGSIAGAGAGADPRWVWDAEADPLVAALIDRGDVPLVNELLWDWNRNDQPLPAGLPADLRDFMEQARQLPTWADRVKLERAAQFNKSRGIYLNLLNGVGGGMLSTAIPKEARAVYYSKGGADMEDRVAKTSILGFAVGALNAYRPDGDCVVQAVKTRLVHAAVRHLLQQSPHWDGTIPISQEDMLVTWHTLPTFAMRRMRDWQVPMTTADTDAYLHVWQVTAHMLGIRDEYIPATWAAANAQSDQVLPRNMGPTPEGVILTDILLGQLAEQTSPGSISRPLVNALARYLVGDQVADWDKIRREPVWGPLISTVWPLLVKFREGLIPLPLVPETAWVIDEAARQYILFYLTKGKETKIVIPTMNRPE</t>
        </is>
      </c>
      <c r="AE251" s="5" t="n"/>
      <c r="AF251" s="5" t="n"/>
      <c r="AG251" s="5" t="inlineStr">
        <is>
          <t>supp_unavailable</t>
        </is>
      </c>
      <c r="AH251" s="5" t="inlineStr">
        <is>
          <t>ncbi</t>
        </is>
      </c>
      <c r="AI251" s="5" t="n"/>
      <c r="AJ251" s="5" t="n"/>
      <c r="AK251" s="5" t="n"/>
      <c r="AL251" s="5" t="n">
        <v>1</v>
      </c>
    </row>
    <row r="252" ht="15" customHeight="1" s="12">
      <c r="A252" s="5" t="inlineStr">
        <is>
          <t>retrieving_only</t>
        </is>
      </c>
      <c r="B252" s="5" t="inlineStr">
        <is>
          <t>MAELSRRKILISGGALGTLGALGVAFPARAMPWTWAPTGSIAGAGAGVDPRWVWDEEADPLVASLLDRGAVPEVNRLLWDWNRNDQPLPAGLPADLRDFMERARQLPSWADQGKLEIAAQFNKSRGFYLNLLNGVGGGMLSTAIPKEARAVYYSKGGADMEDRVAKTSLLGFAVGDLNAYRPDGTCVVQAVKTRLVHAAVRHLLPQSPYWGQVSGEEIPISQEDMLVTWHTLPTYAMRKLRGWNVPIKTAESEAYLHVWQVTAHMLGIRDEYIPASWDAANAQSDQILPRNMGPTPEGVKLTDILLDQLAEQTSLGTKASRSLCNALARYLVDDQIAGWDGIEREPVWDPAVRTAWPLLVKFREGLIPLPLVPEIAWVIDEALRKYILFYLTKAKETKIEIPTINRPNSS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inlineStr">
        <is>
          <t>Lcp1</t>
        </is>
      </c>
      <c r="Z252" s="5" t="inlineStr">
        <is>
          <t>UFE15760.1</t>
        </is>
      </c>
      <c r="AA252" s="5" t="inlineStr">
        <is>
          <t>Indirect</t>
        </is>
      </c>
      <c r="AB252" s="5" t="n">
        <v>129</v>
      </c>
      <c r="AC252" s="5" t="inlineStr">
        <is>
          <t>10.3390/polym13203524</t>
        </is>
      </c>
      <c r="AD252" s="5" t="inlineStr">
        <is>
          <t>MAELSRRKILISGGALGTLGALGVAFPARAMPWTWAPTGSIAGAGAGVDPRWVWDEEADPLVASLLDRGAVPEVNRLLWDWNRNDQPLPAGLPADLRDFMERARQLPSWADQGKLEIAAQFNKSRGFYLNLLNGVGGGMLSTAIPKEARAVYYSKGGADMEDRVAKTSLLGFAVGDLNAYRPDGTCVVQAVKTRLVHAAVRHLLPQSPYWGQVSGEEIPISQEDMLVTWHTLPTYAMRKLRGWNVPIKTAESEAYLHVWQVTAHMLGIRDEYIPASWDAANAQSDQILPRNMGPTPEGVKLTDILLDQLAEQTSLGTKASRSLCNALARYLVDDQIAGWDGIEREPVWDPAVRTAWPLLVKFREGLIPLPLVPEIAWVIDEALRKYILFYLTKAKETKIEIPTINRPNSS</t>
        </is>
      </c>
      <c r="AE252" s="5" t="inlineStr">
        <is>
          <t>Microtetraspora sp. AC03309</t>
        </is>
      </c>
      <c r="AF252" s="5" t="n">
        <v>2779376</v>
      </c>
      <c r="AG252" s="5" t="inlineStr">
        <is>
          <t>supp_unavailable</t>
        </is>
      </c>
      <c r="AH252" s="5" t="inlineStr">
        <is>
          <t>ncbi</t>
        </is>
      </c>
      <c r="AI252" s="5" t="n"/>
      <c r="AJ252" s="5" t="n"/>
      <c r="AK252" s="5" t="n"/>
      <c r="AL252" s="5" t="n">
        <v>1</v>
      </c>
    </row>
    <row r="253" ht="15" customHeight="1" s="12">
      <c r="A253" s="5" t="inlineStr">
        <is>
          <t>retrieving_only</t>
        </is>
      </c>
      <c r="B253" s="5" t="inlineStr">
        <is>
          <t>NTSGLGWMSATEMAAQVASKKLSPNEIAEEMIRRVGEVNPA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ARPWADRRPVA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inlineStr">
        <is>
          <t>ReU</t>
        </is>
      </c>
      <c r="Z253" s="5" t="n"/>
      <c r="AA253" s="5" t="inlineStr">
        <is>
          <t>Direct</t>
        </is>
      </c>
      <c r="AB253" s="5" t="n">
        <v>222</v>
      </c>
      <c r="AC253" s="5" t="inlineStr">
        <is>
          <t>10.1038/s41467-024-45523-5</t>
        </is>
      </c>
      <c r="AD253" s="5" t="inlineStr">
        <is>
          <t>NTSGLGWMSATEMAAQVASKKLSPNEIAEEMIRRVGEVNPA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ARPWADRRPVA</t>
        </is>
      </c>
      <c r="AE253" s="5" t="n"/>
      <c r="AF253" s="5" t="n"/>
      <c r="AG253" s="5" t="n"/>
      <c r="AH253" s="5" t="n"/>
      <c r="AI253" s="5" t="n"/>
      <c r="AJ253" s="5" t="n"/>
      <c r="AK253" s="5" t="n"/>
      <c r="AL253" s="5" t="n">
        <v>1</v>
      </c>
    </row>
    <row r="254" ht="15" customHeight="1" s="12">
      <c r="A254" s="5" t="inlineStr">
        <is>
          <t>retrieving_only</t>
        </is>
      </c>
      <c r="B254" s="5" t="inlineStr">
        <is>
          <t>MVVAALVAVAGLLAAMLAFQPAAAADNPYQRGPDPTPAGVAASRGPFATAQTTVAPGNGFNGGTIYYPTDTSAGTWGAVAIVPGYTALFADEEAWMGPWLSSFGFVVIGIETNSRTDFDVARGTQLLAALDYLTQQSPVRDRVDTSRLSVIGHSMGGGGVVYATEHRPSLKAAVALAPFSPSQDMSTDRVPTMVMAGQNDTVVTPSYLDGLYATMPAATQSDFVQIAGADHVYYTHPQSTEMRILIPWLKIFVDNDTRYTQFLCPSLSDSSGISIYRSKCPYVPPGTSTTGGTTSGTTSGGTTTGGTTSGGTTTGGTTSGGTTSGGTSGSACTASYATVNTWSGGFQGEVTVTAGGKPVNGWTVRWTLAGGQGISQVWNGTVSTSGSDVSVRNVSYNGSLQPSTSTTFGFLGTGTPSDVSLSCTSP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inlineStr">
        <is>
          <t>ESM043</t>
        </is>
      </c>
      <c r="Z254" s="5" t="inlineStr">
        <is>
          <t>WP_031525917.1</t>
        </is>
      </c>
      <c r="AA254" s="5" t="inlineStr">
        <is>
          <t>Direct</t>
        </is>
      </c>
      <c r="AB254" s="5" t="n">
        <v>415</v>
      </c>
      <c r="AC254" s="5" t="inlineStr">
        <is>
          <t>10.1021/acscatal.5c03460</t>
        </is>
      </c>
      <c r="AD254" s="5" t="inlineStr">
        <is>
          <t>MVVAALVAVAGLLAAMLAFQPAAAADNPYQRGPDPTPAGVAASRGPFATAQTTVAPGNGFNGGTIYYPTDTSAGTWGAVAIVPGYTALFADEEAWMGPWLSSFGFVVIGIETNSRTDFDVARGTQLLAALDYLTQQSPVRDRVDTSRLSVIGHSMGGGGVVYATEHRPSLKAAVALAPFSPSQDMSTDRVPTMVMAGQNDTVVTPSYLDGLYATMPAATQSDFVQIAGADHVYYTHPQSTEMRILIPWLKIFVDNDTRYTQFLCPSLSDSSGISIYRSKCPYVPPGTSTTGGTTSGTTSGGTTTGGTTSGGTTTGGTTSGGTTSGGTSGSACTASYATVNTWSGGFQGEVTVTAGGKPVNGWTVRWTLAGGQGISQVWNGTVSTSGSDVSVRNVSYNGSLQPSTSTTFGFLGTGTPSDVSLSCTSP</t>
        </is>
      </c>
      <c r="AE254" s="5" t="inlineStr">
        <is>
          <t>Streptomyces sp. NRRL F-5123</t>
        </is>
      </c>
      <c r="AF254" s="5" t="n">
        <v>1463856</v>
      </c>
      <c r="AG254" s="5" t="inlineStr">
        <is>
          <t>seq_in_supp</t>
        </is>
      </c>
      <c r="AH254" s="5" t="inlineStr">
        <is>
          <t>ncbi</t>
        </is>
      </c>
      <c r="AI254" s="5" t="n"/>
      <c r="AJ254" s="5" t="n"/>
      <c r="AK254" s="5" t="n"/>
      <c r="AL254" s="5" t="n">
        <v>1</v>
      </c>
    </row>
    <row r="255" ht="15" customHeight="1" s="12">
      <c r="A255" s="5" t="inlineStr">
        <is>
          <t>retrieving_only</t>
        </is>
      </c>
      <c r="B255" s="5" t="inlineStr">
        <is>
          <t>M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PNLTLANITQEDNQIQHALEHHHHHH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inlineStr">
        <is>
          <t>Chath_Est1</t>
        </is>
      </c>
      <c r="Z255" s="5" t="inlineStr">
        <is>
          <t>ALS54749.1</t>
        </is>
      </c>
      <c r="AA255" s="5" t="inlineStr">
        <is>
          <t>Direct</t>
        </is>
      </c>
      <c r="AB255" s="5" t="n">
        <v>117</v>
      </c>
      <c r="AC255" s="5" t="inlineStr">
        <is>
          <t>10.1021/acs.est.5b04346</t>
        </is>
      </c>
      <c r="AD255" s="5" t="inlineStr">
        <is>
          <t>M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PNLTLANITQEDNQIQHALEHHHHHH</t>
        </is>
      </c>
      <c r="AE255" s="5" t="inlineStr">
        <is>
          <t>Hungatella hathewayi</t>
        </is>
      </c>
      <c r="AF255" s="5" t="n">
        <v>154046</v>
      </c>
      <c r="AG255" s="5" t="inlineStr">
        <is>
          <t>supp_unavailable</t>
        </is>
      </c>
      <c r="AH255" s="5" t="inlineStr">
        <is>
          <t>ncbi</t>
        </is>
      </c>
      <c r="AI255" s="5" t="n"/>
      <c r="AJ255" s="5" t="n"/>
      <c r="AK255" s="5" t="n"/>
      <c r="AL255" s="5" t="n">
        <v>1</v>
      </c>
    </row>
    <row r="256" ht="15" customHeight="1" s="12">
      <c r="A256" s="5" t="inlineStr">
        <is>
          <t>retrieving_only</t>
        </is>
      </c>
      <c r="B256" s="5" t="inlineStr">
        <is>
          <t>MWRHGAAAAAAVTLLGALTVTSGTSPALGAADNPYQRGPDPTPASVSANRGTFATTQVAVAAGNGFGGGVIYYPTDTSQGQFGAIAVVPGYTATWAAEGAWMGHWLASFGFVVIGIDTNNRNDWDTARGTQLLAALDYLTQRSSVRDRVDATRTAVMGHSMGGGGAASASLQRPSLKASIGLAPASFSQNLTTTRVPTMLLSGQNDTTITPASVVNLYNGIPASVEKAYLELSGAGHGFPTSNNSTMMRNVIPWFKVFVDSDTRYTQFLCPLANWSGIRTYQSTCPLVPSTPPTSTTTSTTTSTTTSTTTTTTPQPVGACNATYRTTNSWPGGYQGEVTVTAGESGVNGWTTRWTLGSGQTVTQVWNGTLTVDGSTASVRNAAYNGSLPAGGSAAFGFIGGGTPPTSLTCTSP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>
        <v>1482</v>
      </c>
      <c r="Z256" s="5" t="inlineStr">
        <is>
          <t>WP_141984372.1</t>
        </is>
      </c>
      <c r="AA256" s="5" t="inlineStr">
        <is>
          <t>Direct</t>
        </is>
      </c>
      <c r="AB256" s="5" t="n">
        <v>290</v>
      </c>
      <c r="AC256" s="5" t="inlineStr">
        <is>
          <t>10.1126/science.adp5637</t>
        </is>
      </c>
      <c r="AD256" s="5" t="inlineStr">
        <is>
          <t>MWRHGAAAAAAVTLLGALTVTSGTSPALGAADNPYQRGPDPTPASVSANRGTFATTQVAVAAGNGFGGGVIYYPTDTSQGQFGAIAVVPGYTATWAAEGAWMGHWLASFGFVVIGIDTNNRNDWDTARGTQLLAALDYLTQRSSVRDRVDATRTAVMGHSMGGGGAASASLQRPSLKASIGLAPASFSQNLTTTRVPTMLLSGQNDTTITPASVVNLYNGIPASVEKAYLELSGAGHGFPTSNNSTMMRNVIPWFKVFVDSDTRYTQFLCPLANWSGIRTYQSTCPLVPSTPPTSTTTSTTTSTTTSTTTTTTPQPVGACNATYRTTNSWPGGYQGEVTVTAGESGVNGWTTRWTLGSGQTVTQVWNGTLTVDGSTASVRNAAYNGSLPAGGSAAFGFIGGGTPPTSLTCTSP</t>
        </is>
      </c>
      <c r="AE256" s="5" t="inlineStr">
        <is>
          <t>Saccharothrix saharensis</t>
        </is>
      </c>
      <c r="AF256" s="5" t="n">
        <v>571190</v>
      </c>
      <c r="AG256" s="5" t="inlineStr">
        <is>
          <t>supp_unavailable</t>
        </is>
      </c>
      <c r="AH256" s="5" t="inlineStr">
        <is>
          <t>ncbi</t>
        </is>
      </c>
      <c r="AI256" s="5" t="n"/>
      <c r="AJ256" s="5" t="n"/>
      <c r="AK256" s="5" t="n"/>
      <c r="AL256" s="5" t="n">
        <v>1</v>
      </c>
    </row>
    <row r="257" ht="15" customHeight="1" s="12">
      <c r="A257" s="5" t="inlineStr">
        <is>
          <t>retrieving_only</t>
        </is>
      </c>
      <c r="B257" s="5" t="inlineStr">
        <is>
          <t>MWRIGHAQDHEKGTGCTVLVFPEGATASCDIRGGAPGTREIALLGPEFTVDRINALVLSGGSARGLSAADGVMRYCEERGWGFDSGFGVIPIVPAACLFDLSCGGSSAWPDPSMGMEACLEARPIQESPMGNCGAGTGATVGKYSGIERSMKSGLGWARKVSGELEVFAVAVVNAFGAVRDLSGGFMAGALVEDSIIDPGTMSGSGEIWNEWGKSTTLAAVVTNARVSKAACSRIAIMGQAALAGVIFPFNTPFDGDTVFCASVGEREFPTVLVGWLAASALEEAVRNAVLYARSAYGFVSFSDLGRVFPAPGR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inlineStr">
        <is>
          <t>Nyl39</t>
        </is>
      </c>
      <c r="Z257" s="5" t="inlineStr">
        <is>
          <t>A0A3D4HM79</t>
        </is>
      </c>
      <c r="AA257" s="5" t="inlineStr">
        <is>
          <t>Direct</t>
        </is>
      </c>
      <c r="AB257" s="5" t="n">
        <v>357</v>
      </c>
      <c r="AC257" s="5" t="inlineStr">
        <is>
          <t>10.1016/j.checat.2025.101418</t>
        </is>
      </c>
      <c r="AD257" s="5" t="inlineStr">
        <is>
          <t>MWRIGHAQDHEKGTGCTVLVFPEGATASCDIRGGAPGTREIALLGPEFTVDRINALVLSGGSARGLSAADGVMRYCEERGWGFDSGFGVIPIVPAACLFDLSCGGSSAWPDPSMGMEACLEARPIQESPMGNCGAGTGATVGKYSGIERSMKSGLGWARKVSGELEVFAVAVVNAFGAVRDLSGGFMAGALVEDSIIDPGTMSGSGEIWNEWGKSTTLAAVVTNARVSKAACSRIAIMGQAALAGVIFPFNTPFDGDTVFCASVGEREFPTVLVGWLAASALEEAVRNAVLYARSAYGFVSFSDLGRVFPAPGR</t>
        </is>
      </c>
      <c r="AE257" s="5" t="inlineStr">
        <is>
          <t>Synergistaceae bacterium</t>
        </is>
      </c>
      <c r="AF257" s="5" t="n">
        <v>2053624</v>
      </c>
      <c r="AG257" s="5" t="inlineStr">
        <is>
          <t>supp_unavailable</t>
        </is>
      </c>
      <c r="AH257" s="5" t="inlineStr">
        <is>
          <t>uniparc</t>
        </is>
      </c>
      <c r="AI257" s="5" t="n"/>
      <c r="AJ257" s="5" t="n"/>
      <c r="AK257" s="5" t="n"/>
      <c r="AL257" s="5" t="n">
        <v>1</v>
      </c>
    </row>
    <row r="258" ht="15" customHeight="1" s="12">
      <c r="A258" s="5" t="inlineStr">
        <is>
          <t>retrieving_only</t>
        </is>
      </c>
      <c r="B258" s="5" t="inlineStr">
        <is>
          <t>MWRRFRGALAVLGVVLGLAPVSSAVAADNPYQRGPDPTPASIAADHGPFATAQTTIPKGNGLGGGIVYYPTDTSQGTFGAIAIAPGYGTEWRWYGWLGPRLASFGFVVVGIETNSLSDYADARADQLLAALDWLVTSSPVRDRVDRTRLAVGGHSMGGGGALVAATRRPSLRSAVGMAPYVPDGILRGTSVPTILFGGQADTTVTPAYLASAYATIPATVPRAYPEIAGEGHGFAAGGGGGNSGAFARVMMVWLKVFVDADTRYPPFLCPTLSNTSGISKYQASCPLGPGGTIPPPDTSRLANANAGRCLDASGAGTANGTKVILWTCNHGANQQWNRT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inlineStr">
        <is>
          <t>ESM139</t>
        </is>
      </c>
      <c r="Z258" s="5" t="inlineStr">
        <is>
          <t>WP_199199185.1</t>
        </is>
      </c>
      <c r="AA258" s="5" t="inlineStr">
        <is>
          <t>Direct</t>
        </is>
      </c>
      <c r="AB258" s="5" t="n">
        <v>441</v>
      </c>
      <c r="AC258" s="5" t="inlineStr">
        <is>
          <t>10.1021/acscatal.5c03460</t>
        </is>
      </c>
      <c r="AD258" s="5" t="inlineStr">
        <is>
          <t>MWRRFRGALAVLGVVLGLAPVSSAVAADNPYQRGPDPTPASIAADHGPFATAQTTIPKGNGLGGGIVYYPTDTSQGTFGAIAIAPGYGTEWRWYGWLGPRLASFGFVVVGIETNSLSDYADARADQLLAALDWLVTSSPVRDRVDRTRLAVGGHSMGGGGALVAATRRPSLRSAVGMAPYVPDGILRGTSVPTILFGGQADTTVTPAYLASAYATIPATVPRAYPEIAGEGHGFAAGGGGGNSGAFARVMMVWLKVFVDADTRYPPFLCPTLSNTSGISKYQASCPLGPGGTIPPPDTSRLANANAGRCLDASGAGTANGTKVILWTCNHGANQQWNRT</t>
        </is>
      </c>
      <c r="AE258" s="5" t="inlineStr">
        <is>
          <t>Amycolatopsis sp. CA-128772</t>
        </is>
      </c>
      <c r="AF258" s="5" t="n">
        <v>2073159</v>
      </c>
      <c r="AG258" s="5" t="inlineStr">
        <is>
          <t>seq_in_supp</t>
        </is>
      </c>
      <c r="AH258" s="5" t="inlineStr">
        <is>
          <t>ncbi</t>
        </is>
      </c>
      <c r="AI258" s="5" t="n"/>
      <c r="AJ258" s="5" t="n"/>
      <c r="AK258" s="5" t="n"/>
      <c r="AL258" s="5" t="n">
        <v>1</v>
      </c>
    </row>
    <row r="259" ht="15" customHeight="1" s="12">
      <c r="A259" s="5" t="inlineStr">
        <is>
          <t>retrieving_only</t>
        </is>
      </c>
      <c r="B259" s="5" t="inlineStr">
        <is>
          <t>MAGPTPTPRECTDVPTHPPTPLLRRMSSAVTTLLLVVLLALAGGLAAPAAHAAVHGPDPTDALLEASRGPYATAQIDVSSLSVSGFGGGTIYYPTTTSEGTFGGVAIAPGYTADKSSLAWLAARLASHGFVVFNIDTLTRLDQPDSRGRQLLAALDYLTQRSSVRGRVDATRLGVMGHSMGGGGTLEAVADRPSLRAAVPLTPWNLDKTWSGVQTPTLIIGADNDTVAPVASHAEPFYTSLPSSLDKAYLELNNATHFAPNTTNTTIGKYAVAWMKRFVDDDTRYGRFLCPGPSSGLLVEEYRSTCPF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>
        <v>169</v>
      </c>
      <c r="Z259" s="5" t="inlineStr">
        <is>
          <t>OPG10926.1</t>
        </is>
      </c>
      <c r="AA259" s="5" t="inlineStr">
        <is>
          <t>Direct</t>
        </is>
      </c>
      <c r="AB259" s="5" t="n">
        <v>322</v>
      </c>
      <c r="AC259" s="5" t="inlineStr">
        <is>
          <t>10.1126/science.adp5637</t>
        </is>
      </c>
      <c r="AD259" s="5" t="inlineStr">
        <is>
          <t>MAGPTPTPRECTDVPTHPPTPLLRRMSSAVTTLLLVVLLALAGGLAAPAAHAAVHGPDPTDALLEASRGPYATAQIDVSSLSVSGFGGGTIYYPTTTSEGTFGGVAIAPGYTADKSSLAWLAARLASHGFVVFNIDTLTRLDQPDSRGRQLLAALDYLTQRSSVRGRVDATRLGVMGHSMGGGGTLEAVADRPSLRAAVPLTPWNLDKTWSGVQTPTLIIGADNDTVAPVASHAEPFYTSLPSSLDKAYLELNNATHFAPNTTNTTIGKYAVAWMKRFVDDDTRYGRFLCPGPSSGLLVEEYRSTCPF</t>
        </is>
      </c>
      <c r="AE259" s="5" t="inlineStr">
        <is>
          <t>Microbispora sp. GKU 823</t>
        </is>
      </c>
      <c r="AF259" s="5" t="n">
        <v>1652100</v>
      </c>
      <c r="AG259" s="5" t="inlineStr">
        <is>
          <t>supp_unavailable</t>
        </is>
      </c>
      <c r="AH259" s="5" t="inlineStr">
        <is>
          <t>ncbi</t>
        </is>
      </c>
      <c r="AI259" s="5" t="n"/>
      <c r="AJ259" s="5" t="n"/>
      <c r="AK259" s="5" t="n"/>
      <c r="AL259" s="5" t="n">
        <v>1</v>
      </c>
    </row>
    <row r="260" ht="15" customHeight="1" s="12">
      <c r="A260" s="5" t="inlineStr">
        <is>
          <t>retrieving_only</t>
        </is>
      </c>
      <c r="B260" s="5" t="inlineStr">
        <is>
          <t>MWRRGTAAAVGAVVLGALTVAVAVQPASGADNPYQRGPDPTQSSVSASRGTFATAQVGVPAGNGFGGGVIYHPTDTSQGTFGAVAIVPGYTATWAAEGAWMGHWLASFGFVVIGIDTNNRNDWDTARGTQLLAALDYLTQRSSVRDRVDPSRTAVMGHSMGGGGAMYAALQRPSLKTAVGLAPFSPSQNLTTTRVPTMLLSGQNDTTTTPASIVNLYNGIPSSVEKAYLELTGAGHGFPTSNNSTMMRNVIPWLKIFVDSDTRYTQFLCPLSDSNGIRTYQNTCPLVPSPVPTTTSTTSSTSTTTTSTTTTTTTSVPVGACSATYRTTNAWSGGYQGEVTVAAGDSAVNGWTVRWTLDSGQTISQVWNGTLSATGSAVSVRNASYNGSLRPGTSTTFGFIAGGAPSTPVLSCTSP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>
        <v>1465</v>
      </c>
      <c r="Z260" s="5" t="inlineStr">
        <is>
          <t>WP_073887759.1</t>
        </is>
      </c>
      <c r="AA260" s="5" t="inlineStr">
        <is>
          <t>Direct</t>
        </is>
      </c>
      <c r="AB260" s="5" t="n">
        <v>278</v>
      </c>
      <c r="AC260" s="5" t="inlineStr">
        <is>
          <t>10.1126/science.adp5637</t>
        </is>
      </c>
      <c r="AD260" s="5" t="inlineStr">
        <is>
          <t>MWRRGTAAAVGAVVLGALTVAVAVQPASGADNPYQRGPDPTQSSVSASRGTFATAQVGVPAGNGFGGGVIYHPTDTSQGTFGAVAIVPGYTATWAAEGAWMGHWLASFGFVVIGIDTNNRNDWDTARGTQLLAALDYLTQRSSVRDRVDPSRTAVMGHSMGGGGAMYAALQRPSLKTAVGLAPFSPSQNLTTTRVPTMLLSGQNDTTTTPASIVNLYNGIPSSVEKAYLELTGAGHGFPTSNNSTMMRNVIPWLKIFVDSDTRYTQFLCPLSDSNGIRTYQNTCPLVPSPVPTTTSTTSSTSTTTTSTTTTTTTSVPVGACSATYRTTNAWSGGYQGEVTVAAGDSAVNGWTVRWTLDSGQTISQVWNGTLSATGSAVSVRNASYNGSLRPGTSTTFGFIAGGAPSTPVLSCTSP</t>
        </is>
      </c>
      <c r="AE260" s="5" t="inlineStr">
        <is>
          <t>Saccharothrix sp. CB00851</t>
        </is>
      </c>
      <c r="AF260" s="5" t="n">
        <v>1835005</v>
      </c>
      <c r="AG260" s="5" t="inlineStr">
        <is>
          <t>supp_unavailable</t>
        </is>
      </c>
      <c r="AH260" s="5" t="inlineStr">
        <is>
          <t>ncbi</t>
        </is>
      </c>
      <c r="AI260" s="5" t="n"/>
      <c r="AJ260" s="5" t="n"/>
      <c r="AK260" s="5" t="n"/>
      <c r="AL260" s="5" t="n">
        <v>1</v>
      </c>
    </row>
    <row r="261" ht="15" customHeight="1" s="12">
      <c r="A261" s="5" t="inlineStr">
        <is>
          <t>retrieving_only</t>
        </is>
      </c>
      <c r="B261" s="5" t="inlineStr">
        <is>
          <t>MAGGAAALLGVAMAGAAVVGSSPSAAAASYQRGPDPTVQSVAANRGTFPTAEITVPRGYGFNGGKIYYPTDTSQGTWGAIAAVPGYTASWAAEGAWMGPWLASFGFVVIGIDTNSPTDFDTARGTQLLAALDYLTGQSAVRDRVDPNRLAVLGHSMGGGGAISAAMRRPTLKAAIPLAPASFSQNLSTVRVPTLIMGARDDGTVTPSSINSLWATKPATTKGAYVELTGGGHGFPTWGNSQVTRREIPWLKIFLDNDNRYTQFLCPSLADNTGVSRYLSECPYGSTGQPTSPPSTPPPTSGGPVRAVGAGKCLDVPNASQTNDTQLAIWDCNGGTNQRWTRTAGKQLTVYGNKCLDAAGQGTTNGTRVIIWDCTGTANQQWNVNANGTITGVQSGLCLDVSGGSTANGALTQLWACNNGSNQQWRLG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inlineStr">
        <is>
          <t>ESM070</t>
        </is>
      </c>
      <c r="Z261" s="5" t="inlineStr">
        <is>
          <t>GHJ08786.1</t>
        </is>
      </c>
      <c r="AA261" s="5" t="inlineStr">
        <is>
          <t>Direct</t>
        </is>
      </c>
      <c r="AB261" s="5" t="n">
        <v>427</v>
      </c>
      <c r="AC261" s="5" t="inlineStr">
        <is>
          <t>10.1021/acscatal.5c03460</t>
        </is>
      </c>
      <c r="AD261" s="5" t="inlineStr">
        <is>
          <t>MAGGAAALLGVAMAGAAVVGSSPSAAAASYQRGPDPTVQSVAANRGTFPTAEITVPRGYGFNGGKIYYPTDTSQGTWGAIAAVPGYTASWAAEGAWMGPWLASFGFVVIGIDTNSPTDFDTARGTQLLAALDYLTGQSAVRDRVDPNRLAVLGHSMGGGGAISAAMRRPTLKAAIPLAPASFSQNLSTVRVPTLIMGARDDGTVTPSSINSLWATKPATTKGAYVELTGGGHGFPTWGNSQVTRREIPWLKIFLDNDNRYTQFLCPSLADNTGVSRYLSECPYGSTGQPTSPPSTPPPTSGGPVRAVGAGKCLDVPNASQTNDTQLAIWDCNGGTNQRWTRTAGKQLTVYGNKCLDAAGQGTTNGTRVIIWDCTGTANQQWNVNANGTITGVQSGLCLDVSGGSTANGALTQLWACNNGSNQQWRLG</t>
        </is>
      </c>
      <c r="AE261" s="5" t="inlineStr">
        <is>
          <t>Micromonospora sp. AKA109</t>
        </is>
      </c>
      <c r="AF261" s="5" t="n">
        <v>2733865</v>
      </c>
      <c r="AG261" s="5" t="inlineStr">
        <is>
          <t>seq_in_supp</t>
        </is>
      </c>
      <c r="AH261" s="5" t="inlineStr">
        <is>
          <t>ncbi</t>
        </is>
      </c>
      <c r="AI261" s="5" t="n"/>
      <c r="AJ261" s="5" t="n"/>
      <c r="AK261" s="5" t="n"/>
      <c r="AL261" s="5" t="n">
        <v>1</v>
      </c>
    </row>
    <row r="262" ht="15" customHeight="1" s="12">
      <c r="A262" s="5" t="inlineStr">
        <is>
          <t>retrieving_only</t>
        </is>
      </c>
      <c r="B262" s="5" t="inlineStr">
        <is>
          <t>MAGAAGWPSTASAADNPYQRGPAPTAASIAADRGPFATAQVTVPRGNGFGGGVIYYPTDTSQGTFGAIAIAPGFSTAWSYYAWQGPRLASFGFVVIGIETNTLNDYADARAAQLLAALDYLVNSSSVRDRVDRNRLAVGGHSMGGGGAILAANQRPSLLTAVGQAPYVPDGSLSGIKSPTIIFAGQTDGTVTPQYAQNAYNTIPGSVERAYVEIANEGHGFPAGGGGGNSGAFARTMMIWLKLFVDKDTRYAPFLCPALTNANGISKYMASCPLDPPGGGPTASPTSTPTSTPTSTPTGSPPTGSTSSLRGVASGRCLDVNGASQSNGATVLIWDCNGQSNQKWTSTSASELRVYGGKCLDVNGGGTADGTAVIIWDCNGQNNQKWRFNSDSSITAVGANKCLDVSANGTANGTRVQIWSCTGGGNQKWTRV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inlineStr">
        <is>
          <t>ESM024</t>
        </is>
      </c>
      <c r="Z262" s="5" t="inlineStr">
        <is>
          <t>MBO4274871.1</t>
        </is>
      </c>
      <c r="AA262" s="5" t="inlineStr">
        <is>
          <t>Direct</t>
        </is>
      </c>
      <c r="AB262" s="5" t="n">
        <v>410</v>
      </c>
      <c r="AC262" s="5" t="inlineStr">
        <is>
          <t>10.1021/acscatal.5c03460</t>
        </is>
      </c>
      <c r="AD262" s="5" t="inlineStr">
        <is>
          <t>MAGAAGWPSTASAADNPYQRGPAPTAASIAADRGPFATAQVTVPRGNGFGGGVIYYPTDTSQGTFGAIAIAPGFSTAWSYYAWQGPRLASFGFVVIGIETNTLNDYADARAAQLLAALDYLVNSSSVRDRVDRNRLAVGGHSMGGGGAILAANQRPSLLTAVGQAPYVPDGSLSGIKSPTIIFAGQTDGTVTPQYAQNAYNTIPGSVERAYVEIANEGHGFPAGGGGGNSGAFARTMMIWLKLFVDKDTRYAPFLCPALTNANGISKYMASCPLDPPGGGPTASPTSTPTSTPTSTPTGSPPTGSTSSLRGVASGRCLDVNGASQSNGATVLIWDCNGQSNQKWTSTSASELRVYGGKCLDVNGGGTADGTAVIIWDCNGQNNQKWRFNSDSSITAVGANKCLDVSANGTANGTRVQIWSCTGGGNQKWTRV</t>
        </is>
      </c>
      <c r="AE262" s="5" t="inlineStr">
        <is>
          <t>Microbispora triticiradicis</t>
        </is>
      </c>
      <c r="AF262" s="5" t="n">
        <v>2200763</v>
      </c>
      <c r="AG262" s="5" t="inlineStr">
        <is>
          <t>seq_in_supp</t>
        </is>
      </c>
      <c r="AH262" s="5" t="inlineStr">
        <is>
          <t>ncbi</t>
        </is>
      </c>
      <c r="AI262" s="5" t="n"/>
      <c r="AJ262" s="5" t="n"/>
      <c r="AK262" s="5" t="n"/>
      <c r="AL262" s="5" t="n">
        <v>1</v>
      </c>
    </row>
    <row r="263" ht="15" customHeight="1" s="12">
      <c r="A263" s="5" t="inlineStr">
        <is>
          <t>retrieving_only</t>
        </is>
      </c>
      <c r="B263" s="5" t="inlineStr">
        <is>
          <t>MAGAAGWPSTASAADNPYQRGPAPTAASIAADRGPFATAQVTVPRGNGFGGGVIYYPTDTSQGTFGAIAIAPGFGTAWSYYAWQGPRLASFGFVVIGIETNTLNDYADARAAQLLAALDYLVNSSSVRDRVDRNRLAVGGHSMGGGGAILAANQRPSLLTAVGQAPYVPDGSLSGIKSPTIIFAGQVDGTVTPQYAQNAYNTIPGSVERAYVEIANEGHGFPAGGGGGNSGAFARTMMVWLKLFIDRDTRYAPFLCPSLTNANGISKYMASCPLDPPGGGPTASPTSTPTSTPTSTPTSTPTGTPPAGGTSALRGVASGRCLDVNGASQANGATVLIWDCNGQNNQKWTSTSAGELRVYGNKCLDVNGGGTADGSAVIIWDCNGQSNQKWRLNSDGSITAVGANKCLDVSGNGTANGTRVQIWSCTGGTNQKWTRV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>
        <v>1868</v>
      </c>
      <c r="Z263" s="5" t="inlineStr">
        <is>
          <t>WP_111700265.1</t>
        </is>
      </c>
      <c r="AA263" s="5" t="inlineStr">
        <is>
          <t>Direct</t>
        </is>
      </c>
      <c r="AB263" s="5" t="n">
        <v>324</v>
      </c>
      <c r="AC263" s="5" t="inlineStr">
        <is>
          <t>10.1126/science.adp5637</t>
        </is>
      </c>
      <c r="AD263" s="5" t="inlineStr">
        <is>
          <t>MAGAAGWPSTASAADNPYQRGPAPTAASIAADRGPFATAQVTVPRGNGFGGGVIYYPTDTSQGTFGAIAIAPGFGTAWSYYAWQGPRLASFGFVVIGIETNTLNDYADARAAQLLAALDYLVNSSSVRDRVDRNRLAVGGHSMGGGGAILAANQRPSLLTAVGQAPYVPDGSLSGIKSPTIIFAGQVDGTVTPQYAQNAYNTIPGSVERAYVEIANEGHGFPAGGGGGNSGAFARTMMVWLKLFIDRDTRYAPFLCPSLTNANGISKYMASCPLDPPGGGPTASPTSTPTSTPTSTPTSTPTGTPPAGGTSALRGVASGRCLDVNGASQANGATVLIWDCNGQNNQKWTSTSAGELRVYGNKCLDVNGGGTADGSAVIIWDCNGQSNQKWRLNSDGSITAVGANKCLDVSGNGTANGTRVQIWSCTGGTNQKWTRV</t>
        </is>
      </c>
      <c r="AE263" s="5" t="inlineStr">
        <is>
          <t>Microbispora triticiradicis</t>
        </is>
      </c>
      <c r="AF263" s="5" t="n">
        <v>2200763</v>
      </c>
      <c r="AG263" s="5" t="inlineStr">
        <is>
          <t>supp_unavailable</t>
        </is>
      </c>
      <c r="AH263" s="5" t="inlineStr">
        <is>
          <t>ncbi</t>
        </is>
      </c>
      <c r="AI263" s="5" t="n"/>
      <c r="AJ263" s="5" t="n"/>
      <c r="AK263" s="5" t="n"/>
      <c r="AL263" s="5" t="n">
        <v>1</v>
      </c>
    </row>
    <row r="264" ht="15" customHeight="1" s="12">
      <c r="A264" s="5" t="inlineStr">
        <is>
          <t>retrieving_only</t>
        </is>
      </c>
      <c r="B264" s="5" t="inlineStr">
        <is>
          <t>MAFNFIRAAAAGAAMALCGVGSVHAAVNLPALKIDKTQTTVSGLSSGGFMAVQLHVAYSATFAKGAGVVAGGPFYCAEGSIVNATGRCMASPAGIPTSTLVSTTNTWASQGVIDPVANLQNSKVYLFSGTLDSVVKTGVMDALRTYYNSFVPAANVVYKKDIAAEHAMVTDDYGNACSTKGAPYISDCNFDLAGAMLQHLYGTLNARNNATLPTGNYIEFNQSEFITNHGMATTGWAYVPQACQAGGTATCKLHVVLHGCKQNIGDVQQQYVRNTGYNRWADTNNIVMLYPQTSTAATNSCWDWWGYDSANYSKKSGPQMAAIKAMVDRVSSGTGGTTPPDPVALPAPTGVSTSGATASSMAIGWAAVMGAASYNVYRNANKVNALPVTATSYTDTGLAASTTYSWTVRAADANGAEGATSAAASGTTLAASGGGTATCTTASNYAHTLAGRAYAAGGYTYALGSNQNMGLWNVFVTNTLKQTSTNYYVIGTCP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inlineStr">
        <is>
          <t>PhaZcac</t>
        </is>
      </c>
      <c r="Z264" s="5" t="inlineStr">
        <is>
          <t>BAA19791.1</t>
        </is>
      </c>
      <c r="AA264" s="5" t="inlineStr">
        <is>
          <t>Direct</t>
        </is>
      </c>
      <c r="AB264" s="5" t="n"/>
      <c r="AC264" s="5" t="inlineStr">
        <is>
          <t>10.1128/aem.63.12.4844-4852.1997; 10.1016/S0141-8130(99)00046-X</t>
        </is>
      </c>
      <c r="AD264" s="5" t="inlineStr">
        <is>
          <t>MAFNFIRAAAAGAAMALCGVGSVHAAVNLPALKIDKTQTTVSGLSSGGFMAVQLHVAYSATFAKGAGVVAGGPFYCAEGSIVNATGRCMASPAGIPTSTLVSTTNTWASQGVIDPVANLQNSKVYLFSGTLDSVVKTGVMDALRTYYNSFVPAANVVYKKDIAAEHAMVTDDYGNACSTKGAPYISDCNFDLAGAMLQHLYGTLNARNNATLPTGNYIEFNQSEFITNHGMATTGWAYVPQACQAGGTATCKLHVVLHGCKQNIGDVQQQYVRNTGYNRWADTNNIVMLYPQTSTAATNSCWDWWGYDSANYSKKSGPQMAAIKAMVDRVSSGTGGTTPPDPVALPAPTGVSTSGATASSMAIGWAAVMGAASYNVYRNANKVNALPVTATSYTDTGLAASTTYSWTVRAADANGAEGATSAAASGTTLAASGGGTATCTTASNYAHTLAGRAYAAGGYTYALGSNQNMGLWNVFVTNTLKQTSTNYYVIGTCP</t>
        </is>
      </c>
      <c r="AE264" s="5" t="n"/>
      <c r="AF264" s="5" t="n"/>
      <c r="AG264" s="5" t="inlineStr">
        <is>
          <t>supp_unavailable</t>
        </is>
      </c>
      <c r="AH264" s="5" t="inlineStr">
        <is>
          <t>ncbi</t>
        </is>
      </c>
      <c r="AI264" s="5" t="n"/>
      <c r="AJ264" s="5" t="n"/>
      <c r="AK264" s="5" t="n"/>
      <c r="AL264" s="5" t="n">
        <v>1</v>
      </c>
    </row>
    <row r="265" ht="15" customHeight="1" s="12">
      <c r="A265" s="5" t="inlineStr">
        <is>
          <t>retrieving_only</t>
        </is>
      </c>
      <c r="B265" s="5" t="inlineStr">
        <is>
          <t>MAFKSLIAFVALAAAVRAAPTAVCPDGTRVSHAACCAFIPLAQDLQETIFQNECGEDAHEVIRLTFHDAIAISRLQGPKAGGGADGSMLLFPTVEPNFSANNGIDDSVNNLIPFMQKHNTISAADLVQFAGAVALSNCPGAPRLEFLAGRPNKTIAAVDGLIPEPQDSVTKILQRFEDAGGFTPFEVVSLLASHSVARADKVDQTIDAAPFDSTPFTFDTQVFLEVLLKGVGFPGSANNTGEVASPLPLGSGSDTGEMRLQSDFALAHDPRTACIWQGFVNEQAFMAASFRAAMSKLAVLGHNRNSLIDCSDVVPVPKPATGQPAMFPASTGPQDLELSCPSERFPTLTTQPGASQSLIAHCPDGSMSCPGVQFNGPA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inlineStr">
        <is>
          <t>MnP</t>
        </is>
      </c>
      <c r="Z265" s="5" t="inlineStr">
        <is>
          <t>AAA33742.1</t>
        </is>
      </c>
      <c r="AA265" s="5" t="inlineStr">
        <is>
          <t>Direct</t>
        </is>
      </c>
      <c r="AB265" s="5" t="n">
        <v>205</v>
      </c>
      <c r="AC265" s="5" t="inlineStr">
        <is>
          <t>10.1007/BF00777369</t>
        </is>
      </c>
      <c r="AD265" s="5" t="inlineStr">
        <is>
          <t>MAFKSLIAFVALAAAVRAAPTAVCPDGTRVSHAACCAFIPLAQDLQETIFQNECGEDAHEVIRLTFHDAIAISRLQGPKAGGGADGSMLLFPTVEPNFSANNGIDDSVNNLIPFMQKHNTISAADLVQFAGAVALSNCPGAPRLEFLAGRPNKTIAAVDGLIPEPQDSVTKILQRFEDAGGFTPFEVVSLLASHSVARADKVDQTIDAAPFDSTPFTFDTQVFLEVLLKGVGFPGSANNTGEVASPLPLGSGSDTGEMRLQSDFALAHDPRTACIWQGFVNEQAFMAASFRAAMSKLAVLGHNRNSLIDCSDVVPVPKPATGQPAMFPASTGPQDLELSCPSERFPTLTTQPGASQSLIAHCPDGSMSCPGVQFNGPA</t>
        </is>
      </c>
      <c r="AE265" s="5" t="n"/>
      <c r="AF265" s="5" t="n"/>
      <c r="AG265" s="5" t="inlineStr">
        <is>
          <t>supp_unavailable</t>
        </is>
      </c>
      <c r="AH265" s="5" t="inlineStr">
        <is>
          <t>ncbi</t>
        </is>
      </c>
      <c r="AI265" s="5" t="n"/>
      <c r="AJ265" s="5" t="n"/>
      <c r="AK265" s="5" t="n"/>
      <c r="AL265" s="5" t="n">
        <v>1</v>
      </c>
    </row>
    <row r="266" ht="15" customHeight="1" s="12">
      <c r="A266" s="5" t="inlineStr">
        <is>
          <t>retrieving_only</t>
        </is>
      </c>
      <c r="B266" s="5" t="inlineStr">
        <is>
          <t>MYLTDVKGIKVGHANNQATGLTVIIPPKGTVCAVDVRGGGPGTRETDLLDPKNMVQGVDAIMLTGGSAYGLNAAAGVMKYLEEENRGVDVGLGIVPIVSGAVIFDLAYKDYKTRPDAEMGYEAAKNASEKENRLGNVGVGLGATVGKILGMESAMKGGLGSYTIKVGQVTISALSVVNSFGDIFEDGKKIAGAINKKTKEFYNPKEILKLMEENKEKYFKGTNTTLSVLATNVKLNKTQAEKVANVAHNGYAMSIFPVHTQYDGDTVFVLSTGQVEADPTLVQALGSICVKNAIISGVKNAKTEEGYLAMEDL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inlineStr">
        <is>
          <t>Nyl87</t>
        </is>
      </c>
      <c r="Z266" s="5" t="inlineStr">
        <is>
          <t>U7UHN3</t>
        </is>
      </c>
      <c r="AA266" s="5" t="inlineStr">
        <is>
          <t>Direct</t>
        </is>
      </c>
      <c r="AB266" s="5" t="n">
        <v>379</v>
      </c>
      <c r="AC266" s="5" t="inlineStr">
        <is>
          <t>10.1016/j.checat.2025.101418</t>
        </is>
      </c>
      <c r="AD266" s="5" t="inlineStr">
        <is>
          <t>MYLTDVKGIKVGHANNQATGLTVIIPPKGTVCAVDVRGGGPGTRETDLLDPKNMVQGVDAIMLTGGSAYGLNAAAGVMKYLEEENRGVDVGLGIVPIVSGAVIFDLAYKDYKTRPDAEMGYEAAKNASEKENRLGNVGVGLGATVGKILGMESAMKGGLGSYTIKVGQVTISALSVVNSFGDIFEDGKKIAGAINKKTKEFYNPKEILKLMEENKEKYFKGTNTTLSVLATNVKLNKTQAEKVANVAHNGYAMSIFPVHTQYDGDTVFVLSTGQVEADPTLVQALGSICVKNAIISGVKNAKTEEGYLAMEDL</t>
        </is>
      </c>
      <c r="AE266" s="5" t="inlineStr">
        <is>
          <t>Peptoniphilus sp. BV3C26</t>
        </is>
      </c>
      <c r="AF266" s="5" t="n">
        <v>1111134</v>
      </c>
      <c r="AG266" s="5" t="inlineStr">
        <is>
          <t>supp_unavailable</t>
        </is>
      </c>
      <c r="AH266" s="5" t="inlineStr">
        <is>
          <t>uniparc</t>
        </is>
      </c>
      <c r="AI266" s="5" t="n"/>
      <c r="AJ266" s="5" t="n"/>
      <c r="AK266" s="5" t="n"/>
      <c r="AL266" s="5" t="n">
        <v>1</v>
      </c>
    </row>
    <row r="267" ht="15" customHeight="1" s="12">
      <c r="A267" s="5" t="inlineStr">
        <is>
          <t>retrieving_only</t>
        </is>
      </c>
      <c r="B267" s="5" t="inlineStr">
        <is>
          <t>MAFAAVAATAVAGPASAAANPYERGPAPTAASIAATTGPFAVASVSVPRGNGFGGGVIYYPTSTSQGTFGGVAISPGLNGTWAGIAWLGPRLASQGFVIFGIETNNLNDSPASRGTQLLAALDFLTRSSSVRTRVDASRLAVAGHSMGGGGALSAALQRPSLQAAIGNAPHLPSGSLATDRVPTLIYAMQNDTLVTPSRLTSLYNSMPATTERAYIEVAGAGHNYIGQPSTTLARTMIPWLKIFVDNDARYSQFLCPLSNQSGISQYRNSCPLISTTTLSTGVDSTSGLAVR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inlineStr">
        <is>
          <t>ESM157</t>
        </is>
      </c>
      <c r="Z267" s="5" t="inlineStr">
        <is>
          <t>PWR09075.1</t>
        </is>
      </c>
      <c r="AA267" s="5" t="inlineStr">
        <is>
          <t>Direct</t>
        </is>
      </c>
      <c r="AB267" s="5" t="n">
        <v>445</v>
      </c>
      <c r="AC267" s="5" t="inlineStr">
        <is>
          <t>10.1021/acscatal.5c03460</t>
        </is>
      </c>
      <c r="AD267" s="5" t="inlineStr">
        <is>
          <t>MAFAAVAATAVAGPASAAANPYERGPAPTAASIAATTGPFAVASVSVPRGNGFGGGVIYYPTSTSQGTFGGVAISPGLNGTWAGIAWLGPRLASQGFVIFGIETNNLNDSPASRGTQLLAALDFLTRSSSVRTRVDASRLAVAGHSMGGGGALSAALQRPSLQAAIGNAPHLPSGSLATDRVPTLIYAMQNDTLVTPSRLTSLYNSMPATTERAYIEVAGAGHNYIGQPSTTLARTMIPWLKIFVDNDARYSQFLCPLSNQSGISQYRNSCPLISTTTLSTGVDSTSGLAVR</t>
        </is>
      </c>
      <c r="AE267" s="5" t="inlineStr">
        <is>
          <t>Micromonospora acroterricola</t>
        </is>
      </c>
      <c r="AF267" s="5" t="n">
        <v>2202421</v>
      </c>
      <c r="AG267" s="5" t="inlineStr">
        <is>
          <t>seq_in_supp</t>
        </is>
      </c>
      <c r="AH267" s="5" t="inlineStr">
        <is>
          <t>ncbi</t>
        </is>
      </c>
      <c r="AI267" s="5" t="n"/>
      <c r="AJ267" s="5" t="n"/>
      <c r="AK267" s="5" t="n"/>
      <c r="AL267" s="5" t="n">
        <v>1</v>
      </c>
    </row>
    <row r="268" ht="15" customHeight="1" s="12">
      <c r="A268" s="5" t="inlineStr">
        <is>
          <t>retrieving_only</t>
        </is>
      </c>
      <c r="B268" s="5" t="inlineStr">
        <is>
          <t>MAESFAKIGSIELCYEDLGPADGEPLLLVMGLGLQLVHWEDGFCELLRERGFRVVRFDNRDAGRSSKIKGGPRPNIARALVGDRRVAAYSLSDMARDAVGLLDHLGIERAHVVGASMGGMIGQLMAIEHPQRVASLCSIMSSAGRRTDLPRLRALGALLARPPRERDRFVAHMERIFRVIGSPAYPTPRERLRELAAIAYDRGHSTAGTARQLVAILTAPSRVRRLRAVQVPTLVVHGGADPLVPPRAGRAVAVAVPGARYVEFAGMGHDLPRELWPEIVDHIAANTRRATASAAA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inlineStr">
        <is>
          <t>TA29</t>
        </is>
      </c>
      <c r="Z268" s="5" t="inlineStr">
        <is>
          <t>WDT94189</t>
        </is>
      </c>
      <c r="AA268" s="5" t="inlineStr">
        <is>
          <t>Direct</t>
        </is>
      </c>
      <c r="AB268" s="5" t="n">
        <v>486</v>
      </c>
      <c r="AC268" s="5" t="inlineStr">
        <is>
          <t>10.1111/febs.70478</t>
        </is>
      </c>
      <c r="AD268" s="5" t="inlineStr">
        <is>
          <t>MAESFAKIGSIELCYEDLGPADGEPLLLVMGLGLQLVHWEDGFCELLRERGFRVVRFDNRDAGRSSKIKGGPRPNIARALVGDRRVAAYSLSDMARDAVGLLDHLGIERAHVVGASMGGMIGQLMAIEHPQRVASLCSIMSSAGRRTDLPRLRALGALLARPPRERDRFVAHMERIFRVIGSPAYPTPRERLRELAAIAYDRGHSTAGTARQLVAILTAPSRVRRLRAVQVPTLVVHGGADPLVPPRAGRAVAVAVPGARYVEFAGMGHDLPRELWPEIVDHIAANTRRATASAAA</t>
        </is>
      </c>
      <c r="AE268" s="5" t="inlineStr">
        <is>
          <t>Thermoleophilum album</t>
        </is>
      </c>
      <c r="AF268" s="5" t="n">
        <v>29539</v>
      </c>
      <c r="AG268" s="5" t="inlineStr">
        <is>
          <t>supp_unavailable</t>
        </is>
      </c>
      <c r="AH268" s="5" t="inlineStr">
        <is>
          <t>ncbi</t>
        </is>
      </c>
      <c r="AI268" s="5" t="n"/>
      <c r="AJ268" s="5" t="n"/>
      <c r="AK268" s="5" t="n"/>
      <c r="AL268" s="5" t="n">
        <v>1</v>
      </c>
    </row>
    <row r="269" ht="15" customHeight="1" s="12">
      <c r="A269" s="5" t="inlineStr">
        <is>
          <t>retrieving_only</t>
        </is>
      </c>
      <c r="B269" s="5" t="inlineStr">
        <is>
          <t>MAERTTRPQAAGAATRSGLLTRPLRWAVAAVTALAAAIALTVATWPASAAGNPYQRGPDPTLASVAASRGTFATAQVSVPPGNGFNGGTIYYPTDTTQGTWGAVAIVPGYTALFANEEAWMGPWLASFGFVVIGIETNSRNDFDTARGTQLLAALDYLTQKSPVRDRVDSARLGVIGHSMGGGGVVYATEHRPSLKAAVALAPFSPSQDMSTDHVPTMVMAGQNDTVVTPSYLDGLYATMPASAQSDFVQLAGADHVAYTHPNTTEMRLLIPWLKIFLDDDTRYTQFLCPLKDSTGVSMYRAKCPYVPPGGPTTSPTPTTTPTPPDGGACSATYRTVNSWSGGYQGEITVTAGGAAIDGWTVRWSLGGGQTVTQVWNGTLSTSGSTASVANASYNGSLQASASTTFGFLANGTPSTPALTCSSP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inlineStr">
        <is>
          <t>ESM084;TEP114</t>
        </is>
      </c>
      <c r="Z269" s="5" t="inlineStr">
        <is>
          <t>WP_252811421.1</t>
        </is>
      </c>
      <c r="AA269" s="5" t="inlineStr">
        <is>
          <t>Direct</t>
        </is>
      </c>
      <c r="AB269" s="5" t="inlineStr">
        <is>
          <t>431;471</t>
        </is>
      </c>
      <c r="AC269" s="5" t="inlineStr">
        <is>
          <t>10.1021/acscatal.5c03460</t>
        </is>
      </c>
      <c r="AD269" s="5" t="inlineStr">
        <is>
          <t>MAERTTRPQAAGAATRSGLLTRPLRWAVAAVTALAAAIALTVATWPASAAGNPYQRGPDPTLASVAASRGTFATAQVSVPPGNGFNGGTIYYPTDTTQGTWGAVAIVPGYTALFANEEAWMGPWLASFGFVVIGIETNSRNDFDTARGTQLLAALDYLTQKSPVRDRVDSARLGVIGHSMGGGGVVYATEHRPSLKAAVALAPFSPSQDMSTDHVPTMVMAGQNDTVVTPSYLDGLYATMPASAQSDFVQLAGADHVAYTHPNTTEMRLLIPWLKIFLDDDTRYTQFLCPLKDSTGVSMYRAKCPYVPPGGPTTSPTPTTTPTPPDGGACSATYRTVNSWSGGYQGEITVTAGGAAIDGWTVRWSLGGGQTVTQVWNGTLSTSGSTASVANASYNGSLQASASTTFGFLANGTPSTPALTCSSP</t>
        </is>
      </c>
      <c r="AE269" s="5" t="inlineStr">
        <is>
          <t>Actinoallomurus spadix</t>
        </is>
      </c>
      <c r="AF269" s="5" t="n">
        <v>79912</v>
      </c>
      <c r="AG269" s="5" t="inlineStr">
        <is>
          <t>seq_in_supp</t>
        </is>
      </c>
      <c r="AH269" s="5" t="inlineStr">
        <is>
          <t>ncbi</t>
        </is>
      </c>
      <c r="AI269" s="5" t="n"/>
      <c r="AJ269" s="5" t="n"/>
      <c r="AK269" s="5" t="n"/>
      <c r="AL269" s="5" t="n">
        <v>2</v>
      </c>
    </row>
    <row r="270" ht="15" customHeight="1" s="12">
      <c r="A270" s="5" t="inlineStr">
        <is>
          <t>retrieving_only</t>
        </is>
      </c>
      <c r="B270" s="5" t="inlineStr">
        <is>
          <t>MYRHLTHALRVLPATVALAAGAALAPAAQAAAPAGPAALPARPLAAAPADSPYERGPAPTEASITAERGPFAIEKIDVPAGSGTGFNRGTIYAPTDTSQGTFGAIAVSPGFMSPQSVIDWYGPRLASQGFVVMTLETKSLLDAPAARGDQLLAALDYMTGKSKAKDRIDASRLAVMGHSMGGGGTLEAANKRASLQAAVPLAPWDTNYDWKNVQAPTMIMGADNDTIAPADSMAERYYGTLTAVPEKAYLELRNAGHTTFNAPNTTIAKYAIAWMKRFVDDDARYEQFLCPEPSPSTTIAQYEGTCPTG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inlineStr">
        <is>
          <t>TEP067</t>
        </is>
      </c>
      <c r="Z270" s="5" t="inlineStr">
        <is>
          <t>WP_149259982.1</t>
        </is>
      </c>
      <c r="AA270" s="5" t="inlineStr">
        <is>
          <t>Direct</t>
        </is>
      </c>
      <c r="AB270" s="5" t="n">
        <v>460</v>
      </c>
      <c r="AC270" s="5" t="inlineStr">
        <is>
          <t>10.1021/acscatal.5c03460</t>
        </is>
      </c>
      <c r="AD270" s="5" t="inlineStr">
        <is>
          <t>MYRHLTHALRVLPATVALAAGAALAPAAQAAAPAGPAALPARPLAAAPADSPYERGPAPTEASITAERGPFAIEKIDVPAGSGTGFNRGTIYAPTDTSQGTFGAIAVSPGFMSPQSVIDWYGPRLASQGFVVMTLETKSLLDAPAARGDQLLAALDYMTGKSKAKDRIDASRLAVMGHSMGGGGTLEAANKRASLQAAVPLAPWDTNYDWKNVQAPTMIMGADNDTIAPADSMAERYYGTLTAVPEKAYLELRNAGHTTFNAPNTTIAKYAIAWMKRFVDDDARYEQFLCPEPSPSTTIAQYEGTCPTG</t>
        </is>
      </c>
      <c r="AE270" s="5" t="inlineStr">
        <is>
          <t>Actinomadura sp. K4S16</t>
        </is>
      </c>
      <c r="AF270" s="5" t="n">
        <v>1316147</v>
      </c>
      <c r="AG270" s="5" t="inlineStr">
        <is>
          <t>seq_in_supp</t>
        </is>
      </c>
      <c r="AH270" s="5" t="inlineStr">
        <is>
          <t>ncbi</t>
        </is>
      </c>
      <c r="AI270" s="5" t="n"/>
      <c r="AJ270" s="5" t="n"/>
      <c r="AK270" s="5" t="n"/>
      <c r="AL270" s="5" t="n">
        <v>1</v>
      </c>
    </row>
    <row r="271" ht="15" customHeight="1" s="12">
      <c r="A271" s="5" t="inlineStr">
        <is>
          <t>retrieving_only</t>
        </is>
      </c>
      <c r="B271" s="5" t="inlineStr">
        <is>
          <t>MFLGLRGRLLKLAVAGVAVTLGLFTMAVTTGSASAADNPYQRGPDPTRTSVAAVNGPFANTSVSVPTGYGFNGGRIYYPTDTSQGTFGAIAISPGYTALFSAELAWMGPWLASHGFVVIGIETNSRNDFDTARGTQLLAALDYLTQQSPVRDRVDPNRLAVSGHSMGGGGALSAAIRRSSLKAVVGIAPYSPSSNLANDRVPTMVFSGQADTVVTPSYATGLYNSLPATTESVYLEVAGADHGFMVGRSNPVMIRTMLPFVKMFIDNDTRYSQFLCPLLDSSGVVTYRSTCPLLPPAPTPSNTGTTPPTTPPVTPTTPPSSASEIVGVQSGRCIDVPNASRNNGTRVQLYDCNRQANQSWTYTSGKQLQVYGNMCLDAAGSGNGAAVQIYSCHSQTNQQWNVNSNGTISGVQSGRCLDVWSTANGAQIQLYDCHGGANQRFNLVPRT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inlineStr">
        <is>
          <t>ESM058</t>
        </is>
      </c>
      <c r="Z271" s="5" t="inlineStr">
        <is>
          <t>WP_173061649.1</t>
        </is>
      </c>
      <c r="AA271" s="5" t="inlineStr">
        <is>
          <t>Direct</t>
        </is>
      </c>
      <c r="AB271" s="5" t="n">
        <v>419</v>
      </c>
      <c r="AC271" s="5" t="inlineStr">
        <is>
          <t>10.1021/acscatal.5c03460</t>
        </is>
      </c>
      <c r="AD271" s="5" t="inlineStr">
        <is>
          <t>MFLGLRGRLLKLAVAGVAVTLGLFTMAVTTGSASAADNPYQRGPDPTRTSVAAVNGPFANTSVSVPTGYGFNGGRIYYPTDTSQGTFGAIAISPGYTALFSAELAWMGPWLASHGFVVIGIETNSRNDFDTARGTQLLAALDYLTQQSPVRDRVDPNRLAVSGHSMGGGGALSAAIRRSSLKAVVGIAPYSPSSNLANDRVPTMVFSGQADTVVTPSYATGLYNSLPATTESVYLEVAGADHGFMVGRSNPVMIRTMLPFVKMFIDNDTRYSQFLCPLLDSSGVVTYRSTCPLLPPAPTPSNTGTTPPTTPPVTPTTPPSSASEIVGVQSGRCIDVPNASRNNGTRVQLYDCNRQANQSWTYTSGKQLQVYGNMCLDAAGSGNGAAVQIYSCHSQTNQQWNVNSNGTISGVQSGRCLDVWSTANGAQIQLYDCHGGANQRFNLVPRT</t>
        </is>
      </c>
      <c r="AE271" s="5" t="inlineStr">
        <is>
          <t>Phytohabitans houttuyneae</t>
        </is>
      </c>
      <c r="AF271" s="5" t="n">
        <v>1076126</v>
      </c>
      <c r="AG271" s="5" t="inlineStr">
        <is>
          <t>seq_in_supp</t>
        </is>
      </c>
      <c r="AH271" s="5" t="inlineStr">
        <is>
          <t>ncbi</t>
        </is>
      </c>
      <c r="AI271" s="5" t="n"/>
      <c r="AJ271" s="5" t="n"/>
      <c r="AK271" s="5" t="n"/>
      <c r="AL271" s="5" t="n">
        <v>1</v>
      </c>
    </row>
    <row r="272" ht="15" customHeight="1" s="12">
      <c r="A272" s="5" t="inlineStr">
        <is>
          <t>retrieving_only</t>
        </is>
      </c>
      <c r="B272" s="5" t="inlineStr">
        <is>
          <t>MTDIHRLAPVLPAGPRRSNGDYALAPVHGTDRGQVEYDFPGVLLGTAEYAEGPTGATVMSIPAGARTFTDRRGGAVGASGLYGYNHAICLAGGSVYGLSAVAGVSEALFERAEHRSGFDQLQLVSGAIIYDYSVRENSVFPDTALGKAALQAARQGVIEVGRVGGGASASSGKVDPARVEFTGQGAAFRQVGDVKVLVVTVLNPYGVIVDRAGRIIRGNFDATTGERRHPALDYEEAIGESRLVESMSGNTTITAVITNVQLSDVELKQFGLQVHSSMHRGIQPFHTPLDGDTLFALTTDEVALPEDPGTSRGRLSLNSTAVATLAGETAWDAILCAAG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inlineStr">
        <is>
          <t>NylC2</t>
        </is>
      </c>
      <c r="Z272" s="5" t="inlineStr">
        <is>
          <t>XHH12375</t>
        </is>
      </c>
      <c r="AA272" s="5" t="inlineStr">
        <is>
          <t>Direct</t>
        </is>
      </c>
      <c r="AB272" s="5" t="n">
        <v>247</v>
      </c>
      <c r="AC272" s="5" t="inlineStr">
        <is>
          <t>10.1039/D4GC01662A</t>
        </is>
      </c>
      <c r="AD272" s="5" t="inlineStr">
        <is>
          <t>MTDIHRLAPVLPAGPRRSNGDYALAPVHGTDRGQVEYDFPGVLLGTAEYAEGPTGATVMSIPAGARTFTDRRGGAVGASGLYGYNHAICLAGGSVYGLSAVAGVSEALFERAEHRSGFDQLQLVSGAIIYDYSVRENSVFPDTALGKAALQAARQGVIEVGRVGGGASASSGKVDPARVEFTGQGAAFRQVGDVKVLVVTVLNPYGVIVDRAGRIIRGNFDATTGERRHPALDYEEAIGESRLVESMSGNTTITAVITNVQLSDVELKQFGLQVHSSMHRGIQPFHTPLDGDTLFALTTDEVALPEDPGTSRGRLSLNSTAVATLAGETAWDAILCAAG</t>
        </is>
      </c>
      <c r="AE272" s="5" t="inlineStr">
        <is>
          <t>Microbacterium oxydans</t>
        </is>
      </c>
      <c r="AF272" s="5" t="n">
        <v>82380</v>
      </c>
      <c r="AG272" s="5" t="inlineStr">
        <is>
          <t>supp_unavailable</t>
        </is>
      </c>
      <c r="AH272" s="5" t="inlineStr">
        <is>
          <t>ncbi</t>
        </is>
      </c>
      <c r="AI272" s="5" t="n"/>
      <c r="AJ272" s="5" t="n"/>
      <c r="AK272" s="5" t="n"/>
      <c r="AL272" s="5" t="n">
        <v>1</v>
      </c>
    </row>
    <row r="273" ht="15" customHeight="1" s="12">
      <c r="A273" s="5" t="inlineStr">
        <is>
          <t>retrieving_only</t>
        </is>
      </c>
      <c r="B273" s="5" t="inlineStr">
        <is>
          <t>MTFLARAGNRITDVAGIAVGHHDRIDDEVVVATGTEPGVGWATGTTVVTVDAGATSAVDVRGGGPGTRETDLLEPGNSVRGANAIVLTGGSAYGLSAADGVMRGLEARGIGLPMDEQGHVVPIVPAAVIFDLPVGEWARRPDEEFGALALDAADADFAVGSVGAGAGARAGALKGGVGTASITLADGPARGLTVGALVVANPVGQVIDPATGLPWGGDDLAAYGLGAPAAGELTRLRELEAKGTVLNTTIGVVATDATLSVPSVRRLAMSGHDGLARAVRPAHSPLDGDTLFAVATGRRTADPEAAVDIPPGMEPEIAVVAALAEASATVVQRAIVSAVVHATSVAGIPSYRDVVASAFGWDSP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inlineStr">
        <is>
          <t>NylC5</t>
        </is>
      </c>
      <c r="Z273" s="5" t="inlineStr">
        <is>
          <t>XHH12378</t>
        </is>
      </c>
      <c r="AA273" s="5" t="inlineStr">
        <is>
          <t>Direct</t>
        </is>
      </c>
      <c r="AB273" s="5" t="n">
        <v>248</v>
      </c>
      <c r="AC273" s="5" t="inlineStr">
        <is>
          <t>10.1039/D4GC01662A</t>
        </is>
      </c>
      <c r="AD273" s="5" t="inlineStr">
        <is>
          <t>MTFLARAGNRITDVAGIAVGHHDRIDDEVVVATGTEPGVGWATGTTVVTVDAGATSAVDVRGGGPGTRETDLLEPGNSVRGANAIVLTGGSAYGLSAADGVMRGLEARGIGLPMDEQGHVVPIVPAAVIFDLPVGEWARRPDEEFGALALDAADADFAVGSVGAGAGARAGALKGGVGTASITLADGPARGLTVGALVVANPVGQVIDPATGLPWGGDDLAAYGLGAPAAGELTRLRELEAKGTVLNTTIGVVATDATLSVPSVRRLAMSGHDGLARAVRPAHSPLDGDTLFAVATGRRTADPEAAVDIPPGMEPEIAVVAALAEASATVVQRAIVSAVVHATSVAGIPSYRDVVASAFGWDSP</t>
        </is>
      </c>
      <c r="AE273" s="5" t="inlineStr">
        <is>
          <t>Gordonia sp. (in: high G+C Gram-positive bacteria)</t>
        </is>
      </c>
      <c r="AF273" s="5" t="n">
        <v>84139</v>
      </c>
      <c r="AG273" s="5" t="inlineStr">
        <is>
          <t>supp_unavailable</t>
        </is>
      </c>
      <c r="AH273" s="5" t="inlineStr">
        <is>
          <t>ncbi</t>
        </is>
      </c>
      <c r="AI273" s="5" t="n"/>
      <c r="AJ273" s="5" t="n"/>
      <c r="AK273" s="5" t="n"/>
      <c r="AL273" s="5" t="n">
        <v>1</v>
      </c>
    </row>
    <row r="274" ht="15" customHeight="1" s="12">
      <c r="A274" s="5" t="inlineStr">
        <is>
          <t>retrieving_only</t>
        </is>
      </c>
      <c r="B274" s="5" t="inlineStr">
        <is>
          <t>MRNDAHHPPPSGPTATEPVRPDRRGRLFKLAAVGLAAAVGLLTMTMTTGSASAADNPYQRGPDPTRTSVTAVNGPFANTSVSVPTGYGFNGGRIYYPTDTSQGTFGAIAISPGYTALFSAELAWMGPWLASHGFVVIGIETNSRNDFDTARGTQLLAALDYLTQQSPVRDRVDPTRLAVAGHSMGGGGALSAAIRRSSLKAVVGIAPYSPSSNLANDRVPTMVISGQADTVVTPSYATGLYNSLPSTTESVYLEVAGADHGFMVGRSNPVMVRTMLPFVKMFVDNDARYSQFLCPLLDNSGVVTYRSTCPLLPSTPTTPTPTPTDPPTPTPTPTVPPGTASEIVGTQSGRCVDVPNASRTNGTRVQLYGCNKQTNQQWTYTSNKQLQVYGNMCLDAAGSGNGAAVQIYSCHSQTNQQWNVNSNGTISGVQSGRCLDVWSTANGAQIQLYDCHGQTNQQFRLTPIA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>
        <v>1621</v>
      </c>
      <c r="Z274" s="5" t="inlineStr">
        <is>
          <t>WP_088988822.1</t>
        </is>
      </c>
      <c r="AA274" s="5" t="inlineStr">
        <is>
          <t>Direct</t>
        </is>
      </c>
      <c r="AB274" s="5" t="n">
        <v>279</v>
      </c>
      <c r="AC274" s="5" t="inlineStr">
        <is>
          <t>10.1126/science.adp5637</t>
        </is>
      </c>
      <c r="AD274" s="5" t="inlineStr">
        <is>
          <t>MRNDAHHPPPSGPTATEPVRPDRRGRLFKLAAVGLAAAVGLLTMTMTTGSASAADNPYQRGPDPTRTSVTAVNGPFANTSVSVPTGYGFNGGRIYYPTDTSQGTFGAIAISPGYTALFSAELAWMGPWLASHGFVVIGIETNSRNDFDTARGTQLLAALDYLTQQSPVRDRVDPTRLAVAGHSMGGGGALSAAIRRSSLKAVVGIAPYSPSSNLANDRVPTMVISGQADTVVTPSYATGLYNSLPSTTESVYLEVAGADHGFMVGRSNPVMVRTMLPFVKMFVDNDARYSQFLCPLLDNSGVVTYRSTCPLLPSTPTTPTPTPTDPPTPTPTPTVPPGTASEIVGTQSGRCVDVPNASRTNGTRVQLYGCNKQTNQQWTYTSNKQLQVYGNMCLDAAGSGNGAAVQIYSCHSQTNQQWNVNSNGTISGVQSGRCLDVWSTANGAQIQLYDCHGQTNQQFRLTPIA</t>
        </is>
      </c>
      <c r="AE274" s="5" t="inlineStr">
        <is>
          <t>Micromonospora chokoriensis</t>
        </is>
      </c>
      <c r="AF274" s="5" t="n">
        <v>356851</v>
      </c>
      <c r="AG274" s="5" t="inlineStr">
        <is>
          <t>supp_unavailable</t>
        </is>
      </c>
      <c r="AH274" s="5" t="inlineStr">
        <is>
          <t>ncbi</t>
        </is>
      </c>
      <c r="AI274" s="5" t="n"/>
      <c r="AJ274" s="5" t="n"/>
      <c r="AK274" s="5" t="n"/>
      <c r="AL274" s="5" t="n">
        <v>1</v>
      </c>
    </row>
    <row r="275" ht="15" customHeight="1" s="12">
      <c r="A275" s="5" t="inlineStr">
        <is>
          <t>retrieving_only</t>
        </is>
      </c>
      <c r="B275" s="5" t="inlineStr">
        <is>
          <t>MSQIQRLRRAAITCTAALGILASTVAAGPASAADNPYQRGPNPTRESVAANRGTFATAETSVGGGNGFGGAKIYYPADTSQGKFAALAVVPGYTATWAAEGAWMGHWLASFGFVIIGIDTNSRNDWDTARGDQLLAALDYLTQRSSVRDRVDANRLGVMGHSMGGGGAISAALKRPTLKAAIGNAPFSASQNLTTMRVPIALNAGQRDGTVTPSMVTGYYNQVPATTEKMYLEFSGAGHAFPTSNNSALTRKIIPWMKIFLDQDTRYQQFLCPVMDNTGISASRSSCPLIPGDPTPPTDTYSLAGAASGKCADVEGRSQTNGAKLLLWPCNGQVNQRWTQTAAGELRVYDNPKCMDAGGSGQGERVTSNACNGGNSQKWTVNANGTVTNTTSGRCLDATGTADDAPVVVNTCNGAASQNWSKRS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>
        <v>1678</v>
      </c>
      <c r="Z275" s="5" t="inlineStr">
        <is>
          <t>WP_045318561.1</t>
        </is>
      </c>
      <c r="AA275" s="5" t="inlineStr">
        <is>
          <t>Direct</t>
        </is>
      </c>
      <c r="AB275" s="5" t="n">
        <v>298</v>
      </c>
      <c r="AC275" s="5" t="inlineStr">
        <is>
          <t>10.1126/science.adp5637</t>
        </is>
      </c>
      <c r="AD275" s="5" t="inlineStr">
        <is>
          <t>MSQIQRLRRAAITCTAALGILASTVAAGPASAADNPYQRGPNPTRESVAANRGTFATAETSVGGGNGFGGAKIYYPADTSQGKFAALAVVPGYTATWAAEGAWMGHWLASFGFVIIGIDTNSRNDWDTARGDQLLAALDYLTQRSSVRDRVDANRLGVMGHSMGGGGAISAALKRPTLKAAIGNAPFSASQNLTTMRVPIALNAGQRDGTVTPSMVTGYYNQVPATTEKMYLEFSGAGHAFPTSNNSALTRKIIPWMKIFLDQDTRYQQFLCPVMDNTGISASRSSCPLIPGDPTPPTDTYSLAGAASGKCADVEGRSQTNGAKLLLWPCNGQVNQRWTQTAAGELRVYDNPKCMDAGGSGQGERVTSNACNGGNSQKWTVNANGTVTNTTSGRCLDATGTADDAPVVVNTCNGAASQNWSKRS</t>
        </is>
      </c>
      <c r="AE275" s="5" t="inlineStr">
        <is>
          <t>Lentzea aerocolonigenes</t>
        </is>
      </c>
      <c r="AF275" s="5" t="n">
        <v>68170</v>
      </c>
      <c r="AG275" s="5" t="inlineStr">
        <is>
          <t>supp_unavailable</t>
        </is>
      </c>
      <c r="AH275" s="5" t="inlineStr">
        <is>
          <t>ncbi</t>
        </is>
      </c>
      <c r="AI275" s="5" t="n"/>
      <c r="AJ275" s="5" t="n"/>
      <c r="AK275" s="5" t="n"/>
      <c r="AL275" s="5" t="n">
        <v>1</v>
      </c>
    </row>
    <row r="276" ht="15" customHeight="1" s="12">
      <c r="A276" s="5" t="inlineStr">
        <is>
          <t>retrieving_only</t>
        </is>
      </c>
      <c r="B276" s="5" t="inlineStr">
        <is>
          <t>MIATTFVATALAAGTALGTGAPAYADEIGQAPTSSNITGNGSFSVSTYNISSLVSGFGGGVAYYPSTAGRYPVVAVSPGFTARWSSISWIGPRLASWGFVVVGIETNSVYDQPASRGSQLLAALNWAVNSAPSAITSRADGSRRGVAGHSMGGGGTLEALAADTTGNVKAGVPLAPWNSDKTWNNVNEPVQIIGGESDTVAGVSSHSIPFYNSLGGSKSYVELNGASHFFPQTTNATTSRALVSWFKRWLNQDARFTPFTCGYSGTAVSDFRTNAC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>
        <v>1522</v>
      </c>
      <c r="Z276" s="5" t="inlineStr">
        <is>
          <t>WP_155388305.1</t>
        </is>
      </c>
      <c r="AA276" s="5" t="inlineStr">
        <is>
          <t>Direct</t>
        </is>
      </c>
      <c r="AB276" s="5" t="n">
        <v>291</v>
      </c>
      <c r="AC276" s="5" t="inlineStr">
        <is>
          <t>10.1126/science.adp5637</t>
        </is>
      </c>
      <c r="AD276" s="5" t="inlineStr">
        <is>
          <t>MIATTFVATALAAGTALGTGAPAYADEIGQAPTSSNITGNGSFSVSTYNISSLVSGFGGGVAYYPSTAGRYPVVAVSPGFTARWSSISWIGPRLASWGFVVVGIETNSVYDQPASRGSQLLAALNWAVNSAPSAITSRADGSRRGVAGHSMGGGGTLEALAADTTGNVKAGVPLAPWNSDKTWNNVNEPVQIIGGESDTVAGVSSHSIPFYNSLGGSKSYVELNGASHFFPQTTNATTSRALVSWFKRWLNQDARFTPFTCGYSGTAVSDFRTNAC</t>
        </is>
      </c>
      <c r="AE276" s="5" t="inlineStr">
        <is>
          <t>Catellatospora paridis</t>
        </is>
      </c>
      <c r="AF276" s="5" t="n">
        <v>1617086</v>
      </c>
      <c r="AG276" s="5" t="inlineStr">
        <is>
          <t>supp_unavailable</t>
        </is>
      </c>
      <c r="AH276" s="5" t="inlineStr">
        <is>
          <t>ncbi</t>
        </is>
      </c>
      <c r="AI276" s="5" t="n"/>
      <c r="AJ276" s="5" t="n"/>
      <c r="AK276" s="5" t="n"/>
      <c r="AL276" s="5" t="n">
        <v>1</v>
      </c>
    </row>
    <row r="277" ht="15" customHeight="1" s="12">
      <c r="A277" s="5" t="inlineStr">
        <is>
          <t>retrieving_only</t>
        </is>
      </c>
      <c r="B277" s="5" t="inlineStr">
        <is>
          <t>MSVLTSPPTSSGPGEKISRRRPWRVKAAGVIAAALAVTTAVASPAPAADNPYERGPDPTTASIEASRGSFATSTTTVSRLAVSGFGGGTIYYPTSTTAGTFGAISIAPGFTATQSSIAWLGPRLASQGFVVFTIDTLTTSDQPDSRGRQLLASLDYLTQQSSVRSRIDSSRLGVVGHSMGGGGTLEAARSRPSLQAAVPLTGWNLTKNWSTVSVPTLVVGAEADTIAPVATHSIPFYTSLPSTLDKAYLELRGASHFAPNTSNTTIAKYTLSWLKRFIDNDTRYEQFLCPIPGTSLSISDYRGTCPHHG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inlineStr">
        <is>
          <t>PC4</t>
        </is>
      </c>
      <c r="Z277" s="5" t="inlineStr">
        <is>
          <t>WP_125313231.1</t>
        </is>
      </c>
      <c r="AA277" s="5" t="inlineStr">
        <is>
          <t>Direct</t>
        </is>
      </c>
      <c r="AB277" s="5" t="n">
        <v>338</v>
      </c>
      <c r="AC277" s="5" t="inlineStr">
        <is>
          <t>10.1038/s41467-023-40233-w</t>
        </is>
      </c>
      <c r="AD277" s="5" t="inlineStr">
        <is>
          <t>MSVLTSPPTSSGPGEKISRRRPWRVKAAGVIAAALAVTTAVASPAPAADNPYERGPDPTTASIEASRGSFATSTTTVSRLAVSGFGGGTIYYPTSTTAGTFGAISIAPGFTATQSSIAWLGPRLASQGFVVFTIDTLTTSDQPDSRGRQLLASLDYLTQQSSVRSRIDSSRLGVVGHSMGGGGTLEAARSRPSLQAAVPLTGWNLTKNWSTVSVPTLVVGAEADTIAPVATHSIPFYTSLPSTLDKAYLELRGASHFAPNTSNTTIAKYTLSWLKRFIDNDTRYEQFLCPIPGTSLSISDYRGTCPHHG</t>
        </is>
      </c>
      <c r="AE277" s="5" t="inlineStr">
        <is>
          <t>Amycolatopsis eburnea</t>
        </is>
      </c>
      <c r="AF277" s="5" t="n">
        <v>2267691</v>
      </c>
      <c r="AG277" s="5" t="inlineStr">
        <is>
          <t>supp_unavailable</t>
        </is>
      </c>
      <c r="AH277" s="5" t="inlineStr">
        <is>
          <t>ncbi</t>
        </is>
      </c>
      <c r="AI277" s="5" t="n"/>
      <c r="AJ277" s="5" t="n"/>
      <c r="AK277" s="5" t="n"/>
      <c r="AL277" s="5" t="n">
        <v>1</v>
      </c>
    </row>
    <row r="278" ht="15" customHeight="1" s="12">
      <c r="A278" s="5" t="inlineStr">
        <is>
          <t>retrieving_only</t>
        </is>
      </c>
      <c r="B278" s="5" t="inlineStr">
        <is>
          <t>MSTPTTTRTRPRLTRVARAVTAAVLVAGGALAASPGAAQAADNPYERGPAPTVALLEASRGPFATASQTVSSLSVTGFGGGVIYYPTDTSQGTFGAIAISPGFTASWSSIDWLGPRVASHGFVVIGIETNTRLDQPDSRGRQLLAALDYLVERSSVRGRIDGSRLAVAGHSMGGGGSLEAAALRPSLQAAVPLAPWNTDKTWNTLQVPTLIIGGESDTVAPVASHSIPFYTSIPASAEKAYLELNNASHFFPQTVNTPTARQMVAWLKRFVDNDTRYEQFLCPGPSGLAIEEYRNTCPSA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>
        <v>486</v>
      </c>
      <c r="Z278" s="5" t="inlineStr">
        <is>
          <t>WP_120326365.1</t>
        </is>
      </c>
      <c r="AA278" s="5" t="inlineStr">
        <is>
          <t>Direct</t>
        </is>
      </c>
      <c r="AB278" s="5" t="n">
        <v>328</v>
      </c>
      <c r="AC278" s="5" t="inlineStr">
        <is>
          <t>10.1126/science.adp5637</t>
        </is>
      </c>
      <c r="AD278" s="5" t="inlineStr">
        <is>
          <t>MSTPTTTRTRPRLTRVARAVTAAVLVAGGALAASPGAAQAADNPYERGPAPTVALLEASRGPFATASQTVSSLSVTGFGGGVIYYPTDTSQGTFGAIAISPGFTASWSSIDWLGPRVASHGFVVIGIETNTRLDQPDSRGRQLLAALDYLVERSSVRGRIDGSRLAVAGHSMGGGGSLEAAALRPSLQAAVPLAPWNTDKTWNTLQVPTLIIGGESDTVAPVASHSIPFYTSIPASAEKAYLELNNASHFFPQTVNTPTARQMVAWLKRFVDNDTRYEQFLCPGPSGLAIEEYRNTCPSA</t>
        </is>
      </c>
      <c r="AE278" s="5" t="inlineStr">
        <is>
          <t>Micromonospora globbae</t>
        </is>
      </c>
      <c r="AF278" s="5" t="n">
        <v>1894969</v>
      </c>
      <c r="AG278" s="5" t="inlineStr">
        <is>
          <t>supp_unavailable</t>
        </is>
      </c>
      <c r="AH278" s="5" t="inlineStr">
        <is>
          <t>ncbi</t>
        </is>
      </c>
      <c r="AI278" s="5" t="n"/>
      <c r="AJ278" s="5" t="n"/>
      <c r="AK278" s="5" t="n"/>
      <c r="AL278" s="5" t="n">
        <v>1</v>
      </c>
    </row>
    <row r="279" ht="15" customHeight="1" s="12">
      <c r="A279" s="5" t="inlineStr">
        <is>
          <t>retrieving_only</t>
        </is>
      </c>
      <c r="B279" s="5" t="inlineStr">
        <is>
          <t>MSTPTSTAPHAAFSFKLRLVGAAVLSLAFGMAQAQVHGPDPTVASLEAAAGPYAVSNATVGTPNGYGAGTVFYPTVRTEGQFGVVVLAPGFLAVQGYYKWLAERVASHGFVVVTVNFNSVFDQPDARGTQMAKALQQVVALSKTSTAPYSGVIDTARQAAMGHSMGGGGTLAAARDNPSLKAAVALAPWHTTKTWSTIQVPTLVISDEKDFIATNSAHSDPFYASFNASLPSAKIELAGADHLCGIQISAEKCKTALAKYSVAWLKRFVDGDARYTPFVKSKTAEMSVFDTRGSY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>
        <v>1395</v>
      </c>
      <c r="Z279" s="5" t="inlineStr">
        <is>
          <t>RZL02950.1</t>
        </is>
      </c>
      <c r="AA279" s="5" t="inlineStr">
        <is>
          <t>Direct</t>
        </is>
      </c>
      <c r="AB279" s="5" t="n">
        <v>319</v>
      </c>
      <c r="AC279" s="5" t="inlineStr">
        <is>
          <t>10.1126/science.adp5637</t>
        </is>
      </c>
      <c r="AD279" s="5" t="inlineStr">
        <is>
          <t>MSTPTSTAPHAAFSFKLRLVGAAVLSLAFGMAQAQVHGPDPTVASLEAAAGPYAVSNATVGTPNGYGAGTVFYPTVRTEGQFGVVVLAPGFLAVQGYYKWLAERVASHGFVVVTVNFNSVFDQPDARGTQMAKALQQVVALSKTSTAPYSGVIDTARQAAMGHSMGGGGTLAAARDNPSLKAAVALAPWHTTKTWSTIQVPTLVISDEKDFIATNSAHSDPFYASFNASLPSAKIELAGADHLCGIQISAEKCKTALAKYSVAWLKRFVDGDARYTPFVKSKTAEMSVFDTRGSY</t>
        </is>
      </c>
      <c r="AE279" s="5" t="inlineStr">
        <is>
          <t>Herbihabitans rhizosphaerae</t>
        </is>
      </c>
      <c r="AF279" s="5" t="n">
        <v>1872711</v>
      </c>
      <c r="AG279" s="5" t="inlineStr">
        <is>
          <t>supp_unavailable</t>
        </is>
      </c>
      <c r="AH279" s="5" t="inlineStr">
        <is>
          <t>ncbi</t>
        </is>
      </c>
      <c r="AI279" s="5" t="n"/>
      <c r="AJ279" s="5" t="n"/>
      <c r="AK279" s="5" t="n"/>
      <c r="AL279" s="5" t="n">
        <v>1</v>
      </c>
    </row>
    <row r="280" ht="15" customHeight="1" s="12">
      <c r="A280" s="5" t="inlineStr">
        <is>
          <t>retrieving_only</t>
        </is>
      </c>
      <c r="B280" s="5" t="inlineStr">
        <is>
          <t>MSTPTRRNRGTVRNALIAVFAMILAFVAAPTAPALAANPYERGPAPTKASIEATTGYFATAKVTVAKSSVSGFGGGTIYYPTSTTSGTFGAIALVPGFTNVQSAVAWLGPRVASQGFVVFIIDTNSVYDSPDSRGTQLLAALDYLTNTSTVKSRVDATRLGVMGYSMGGGGALSATKTRTSIKASVPMAPYHSTKTWTTVKTPTLIVTGQSDTTAPPASHGLAFYNSLSTSIDKAYMELKGAGHSAPTSANTTIAKYSISWFKRFIDDDTRYDQFLCPNPTDTTISSYKSTCNYS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inlineStr">
        <is>
          <t>DP082</t>
        </is>
      </c>
      <c r="Z280" s="5" t="inlineStr">
        <is>
          <t>WP_203733135.1</t>
        </is>
      </c>
      <c r="AA280" s="5" t="inlineStr">
        <is>
          <t>Direct</t>
        </is>
      </c>
      <c r="AB280" s="5" t="n">
        <v>401</v>
      </c>
      <c r="AC280" s="5" t="inlineStr">
        <is>
          <t>10.1021/acscatal.5c03460</t>
        </is>
      </c>
      <c r="AD280" s="5" t="inlineStr">
        <is>
          <t>MSTPTRRNRGTVRNALIAVFAMILAFVAAPTAPALAANPYERGPAPTKASIEATTGYFATAKVTVAKSSVSGFGGGTIYYPTSTTSGTFGAIALVPGFTNVQSAVAWLGPRVASQGFVVFIIDTNSVYDSPDSRGTQLLAALDYLTNTSTVKSRVDATRLGVMGYSMGGGGALSATKTRTSIKASVPMAPYHSTKTWTTVKTPTLIVTGQSDTTAPPASHGLAFYNSLSTSIDKAYMELKGAGHSAPTSANTTIAKYSISWFKRFIDDDTRYDQFLCPNPTDTTISSYKSTCNYS</t>
        </is>
      </c>
      <c r="AE280" s="5" t="inlineStr">
        <is>
          <t>Paractinoplanes durhamensis</t>
        </is>
      </c>
      <c r="AF280" s="5" t="n">
        <v>113563</v>
      </c>
      <c r="AG280" s="5" t="inlineStr">
        <is>
          <t>seq_in_supp</t>
        </is>
      </c>
      <c r="AH280" s="5" t="inlineStr">
        <is>
          <t>ncbi</t>
        </is>
      </c>
      <c r="AI280" s="5" t="n"/>
      <c r="AJ280" s="5" t="n"/>
      <c r="AK280" s="5" t="n"/>
      <c r="AL280" s="5" t="n">
        <v>1</v>
      </c>
    </row>
    <row r="281" ht="15" customHeight="1" s="12">
      <c r="A281" s="5" t="inlineStr">
        <is>
          <t>retrieving_only</t>
        </is>
      </c>
      <c r="B281" s="5" t="inlineStr">
        <is>
          <t>MSSLIEGFRIGQVSDLEAGTGVTVLLCEEGAVPGVDVRGGAPGTRETDLLRPEGTVDRAHAIVLAGGSAFGLAAADGVVRWLEERGIGWPTVAAKVPIVASAILYDLNLGRPDVRPDAAMAYRACDLATNKRPASGVAGAGTGATLAKLLGPERALKGGLGFAEDRLDSGIVVQAVMAVNAIGSVVDPASGEVVAAPRGERPGSFEDSLDLLRRGAVLKASKTIAANTVIGIVMTNAALTKQEATRVAIMAQNGISRTVIPAQTTGDGDTVFVMAHGDIEVEQGALSAVGAIAAAAVEAAVLDAARSATGLHGLPSASEWRARAT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inlineStr">
        <is>
          <t>Nyl60</t>
        </is>
      </c>
      <c r="Z281" s="5" t="inlineStr">
        <is>
          <t>A0A6I1QW75</t>
        </is>
      </c>
      <c r="AA281" s="5" t="inlineStr">
        <is>
          <t>Direct</t>
        </is>
      </c>
      <c r="AB281" s="5" t="n">
        <v>366</v>
      </c>
      <c r="AC281" s="5" t="inlineStr">
        <is>
          <t>10.1016/j.checat.2025.101418</t>
        </is>
      </c>
      <c r="AD281" s="5" t="inlineStr">
        <is>
          <t>MSSLIEGFRIGQVSDLEAGTGVTVLLCEEGAVPGVDVRGGAPGTRETDLLRPEGTVDRAHAIVLAGGSAFGLAAADGVVRWLEERGIGWPTVAAKVPIVASAILYDLNLGRPDVRPDAAMAYRACDLATNKRPASGVAGAGTGATLAKLLGPERALKGGLGFAEDRLDSGIVVQAVMAVNAIGSVVDPASGEVVAAPRGERPGSFEDSLDLLRRGAVLKASKTIAANTVIGIVMTNAALTKQEATRVAIMAQNGISRTVIPAQTTGDGDTVFVMAHGDIEVEQGALSAVGAIAAAAVEAAVLDAARSATGLHGLPSASEWRARAT</t>
        </is>
      </c>
      <c r="AE281" s="5" t="inlineStr">
        <is>
          <t>Dehalococcoidia bacterium</t>
        </is>
      </c>
      <c r="AF281" s="5" t="n">
        <v>2026734</v>
      </c>
      <c r="AG281" s="5" t="inlineStr">
        <is>
          <t>supp_unavailable</t>
        </is>
      </c>
      <c r="AH281" s="5" t="inlineStr">
        <is>
          <t>uniparc</t>
        </is>
      </c>
      <c r="AI281" s="5" t="n"/>
      <c r="AJ281" s="5" t="n"/>
      <c r="AK281" s="5" t="n"/>
      <c r="AL281" s="5" t="n">
        <v>1</v>
      </c>
    </row>
    <row r="282" ht="15" customHeight="1" s="12">
      <c r="A282" s="5" t="inlineStr">
        <is>
          <t>retrieving_only</t>
        </is>
      </c>
      <c r="B282" s="5" t="inlineStr">
        <is>
          <t>MKLLPFRALTAIVAVVMATALATPAQADSQNPYERGPAPTLESITAETGPFDIGSVTVPAGSGQGFNSGTVYYPTDTSEGTFGAIAIMPGFLASQSDIAWYGPRLASQGFVVMTLNTNALWDFPTDRSRQQLAALTYLTAQSTVKNRIDPARLAVMGWSMGGGGSLQSAASTPSLKAAIPLAPWDLSNVSSRITVPTMIFGADGDTVASVDDFALPFYNGLANAPDKSLIVLKDTDHFTFAKPNTTIAQYSVSWLKRFVDNDTRYDQFLCPTPNDPHTVVFQITCPL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>
        <v>1392</v>
      </c>
      <c r="Z282" s="5" t="inlineStr">
        <is>
          <t>SPF04022.1</t>
        </is>
      </c>
      <c r="AA282" s="5" t="inlineStr">
        <is>
          <t>Direct</t>
        </is>
      </c>
      <c r="AB282" s="5" t="n">
        <v>327</v>
      </c>
      <c r="AC282" s="5" t="inlineStr">
        <is>
          <t>10.1126/science.adp5637</t>
        </is>
      </c>
      <c r="AD282" s="5" t="inlineStr">
        <is>
          <t>MKLLPFRALTAIVAVVMATALATPAQADSQNPYERGPAPTLESITAETGPFDIGSVTVPAGSGQGFNSGTVYYPTDTSEGTFGAIAIMPGFLASQSDIAWYGPRLASQGFVVMTLNTNALWDFPTDRSRQQLAALTYLTAQSTVKNRIDPARLAVMGWSMGGGGSLQSAASTPSLKAAIPLAPWDLSNVSSRITVPTMIFGADGDTVASVDDFALPFYNGLANAPDKSLIVLKDTDHFTFAKPNTTIAQYSVSWLKRFVDNDTRYDQFLCPTPNDPHTVVFQITCPL</t>
        </is>
      </c>
      <c r="AE282" s="5" t="inlineStr">
        <is>
          <t>Streptomyces sp. MA5143a</t>
        </is>
      </c>
      <c r="AF282" s="5" t="n">
        <v>2083010</v>
      </c>
      <c r="AG282" s="5" t="inlineStr">
        <is>
          <t>supp_unavailable</t>
        </is>
      </c>
      <c r="AH282" s="5" t="inlineStr">
        <is>
          <t>ncbi</t>
        </is>
      </c>
      <c r="AI282" s="5" t="n"/>
      <c r="AJ282" s="5" t="n"/>
      <c r="AK282" s="5" t="n"/>
      <c r="AL282" s="5" t="n">
        <v>1</v>
      </c>
    </row>
    <row r="283" ht="15" customHeight="1" s="12">
      <c r="A283" s="5" t="inlineStr">
        <is>
          <t>retrieving_only</t>
        </is>
      </c>
      <c r="B283" s="5" t="inlineStr">
        <is>
          <t>MTASITLGGGPVRPVLCRNRGVPMQRRIFAKAGIAAAAVAVATAALAGPQAFAGEGPGAAVVAFAGHAKGPAPTEQSVGAQRGPFATGKLVVPAQAGRGFNKGTIYYPDDTSQGTFGAVAVIPGFLEGESAISWLGPTLASHGFVVLTLAPNATTDYPEPRSDQLLAAVDWLANQSPVKDRVDPARLAVAGHSMGGGGTLIAASKNPALKAAVPLAPWNLYSDFSDVTVPTLIVGAGRDFIAPAVMHATPMYNSLKAKQDQGYLKLKNADHFTTNRYDATVTAYTVSWLKRYVDEDTRYSQFLCPVKSGFQLTCPV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>
        <v>1424</v>
      </c>
      <c r="Z283" s="5" t="inlineStr">
        <is>
          <t>WP_110080872.1</t>
        </is>
      </c>
      <c r="AA283" s="5" t="inlineStr">
        <is>
          <t>Direct</t>
        </is>
      </c>
      <c r="AB283" s="5" t="n">
        <v>329</v>
      </c>
      <c r="AC283" s="5" t="inlineStr">
        <is>
          <t>10.1126/science.adp5637</t>
        </is>
      </c>
      <c r="AD283" s="5" t="inlineStr">
        <is>
          <t>MTASITLGGGPVRPVLCRNRGVPMQRRIFAKAGIAAAAVAVATAALAGPQAFAGEGPGAAVVAFAGHAKGPAPTEQSVGAQRGPFATGKLVVPAQAGRGFNKGTIYYPDDTSQGTFGAVAVIPGFLEGESAISWLGPTLASHGFVVLTLAPNATTDYPEPRSDQLLAAVDWLANQSPVKDRVDPARLAVAGHSMGGGGTLIAASKNPALKAAVPLAPWNLYSDFSDVTVPTLIVGAGRDFIAPAVMHATPMYNSLKAKQDQGYLKLKNADHFTTNRYDATVTAYTVSWLKRYVDEDTRYSQFLCPVKSGFQLTCPV</t>
        </is>
      </c>
      <c r="AE283" s="5" t="inlineStr">
        <is>
          <t>Actinokineospora spheciospongiae</t>
        </is>
      </c>
      <c r="AF283" s="5" t="n">
        <v>909613</v>
      </c>
      <c r="AG283" s="5" t="inlineStr">
        <is>
          <t>supp_unavailable</t>
        </is>
      </c>
      <c r="AH283" s="5" t="inlineStr">
        <is>
          <t>ncbi</t>
        </is>
      </c>
      <c r="AI283" s="5" t="n"/>
      <c r="AJ283" s="5" t="n"/>
      <c r="AK283" s="5" t="n"/>
      <c r="AL283" s="5" t="n">
        <v>1</v>
      </c>
    </row>
    <row r="284" ht="15" customHeight="1" s="12">
      <c r="A284" s="5" t="inlineStr">
        <is>
          <t>retrieving_only</t>
        </is>
      </c>
      <c r="B284" s="5" t="inlineStr">
        <is>
          <t>MSPPQAPEPASRRAVSAYDTGPRRFAAAVLAGIVAVLLATAGAAGWPSAVSAADNPYQRGPAPTAASIAADRGPFATAQVTVPRGNGFGGGVIYYPTDTSQGTFGAIAIAPGFGTAWSYYAWQGPRLASFGFVVIGIETNTLNDYADARAAQLLAALDYLVNSSSVRDRVDRNRLAVGGHSMGGGGAILAANQRPSLLTAVGQAPYVPDGSLSGIKSPTIIFAGQADGTVTPQYAQNAYNTIPGSVERAYVEIANEGHGFPAGGGGGNSGAFARTMMVWLKLFVDKDTRYAPFLCPSLTNANGISKYMASCPLDPPGGGPTASPTSTPTSTPTSTPTSTPTGTPPAGGTSALRGVASGRCLDVNGASQANGATVLIWDCNGQNNQKWTSTSAGELRVYGNKCLDVNGGGTADGSAVIIWDCNGQSNQKWRLNSDGSITAVGANKCLDVSGNGTANGTRVQIWSCTGGTNQKWTRV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inlineStr">
        <is>
          <t>ESM010</t>
        </is>
      </c>
      <c r="Z284" s="5" t="inlineStr">
        <is>
          <t>WP_167521412.1</t>
        </is>
      </c>
      <c r="AA284" s="5" t="inlineStr">
        <is>
          <t>Direct</t>
        </is>
      </c>
      <c r="AB284" s="5" t="n">
        <v>407</v>
      </c>
      <c r="AC284" s="5" t="inlineStr">
        <is>
          <t>10.1021/acscatal.5c03460</t>
        </is>
      </c>
      <c r="AD284" s="5" t="inlineStr">
        <is>
          <t>MSPPQAPEPASRRAVSAYDTGPRRFAAAVLAGIVAVLLATAGAAGWPSAVSAADNPYQRGPAPTAASIAADRGPFATAQVTVPRGNGFGGGVIYYPTDTSQGTFGAIAIAPGFGTAWSYYAWQGPRLASFGFVVIGIETNTLNDYADARAAQLLAALDYLVNSSSVRDRVDRNRLAVGGHSMGGGGAILAANQRPSLLTAVGQAPYVPDGSLSGIKSPTIIFAGQADGTVTPQYAQNAYNTIPGSVERAYVEIANEGHGFPAGGGGGNSGAFARTMMVWLKLFVDKDTRYAPFLCPSLTNANGISKYMASCPLDPPGGGPTASPTSTPTSTPTSTPTSTPTGTPPAGGTSALRGVASGRCLDVNGASQANGATVLIWDCNGQNNQKWTSTSAGELRVYGNKCLDVNGGGTADGSAVIIWDCNGQSNQKWRLNSDGSITAVGANKCLDVSGNGTANGTRVQIWSCTGGTNQKWTRV</t>
        </is>
      </c>
      <c r="AE284" s="5" t="inlineStr">
        <is>
          <t>Microbispora sp. (multispecies)</t>
        </is>
      </c>
      <c r="AF284" s="5" t="n"/>
      <c r="AG284" s="5" t="inlineStr">
        <is>
          <t>seq_in_supp</t>
        </is>
      </c>
      <c r="AH284" s="5" t="inlineStr">
        <is>
          <t>ncbi</t>
        </is>
      </c>
      <c r="AI284" s="5" t="n"/>
      <c r="AJ284" s="5" t="n"/>
      <c r="AK284" s="5" t="n"/>
      <c r="AL284" s="5" t="n">
        <v>1</v>
      </c>
    </row>
    <row r="285" ht="15" customHeight="1" s="12">
      <c r="A285" s="5" t="inlineStr">
        <is>
          <t>retrieving_only</t>
        </is>
      </c>
      <c r="B285" s="5" t="inlineStr">
        <is>
          <t>MITDFFKPLVFLAAVFSMQVFATTPTPQPEPEPPGGCSNCYQRGPDPTERALEADRGPYSVRTINVSSWVSGFGGGTIHYPVGTQGKMGAIAVIPGYVSYENSIEWWGGRLASWGFVVITMDTNSIYDQPDSRARQLSAALDYVIAQSNSGSSAISGMVDSNRLGAIGWSMGGGGTLKLSTDRYLKAAIPQAPWYSGFNDFDEITTPTLIIACELDAVAPVAQHASPFYNDIPRSTDKAFLEIRNGSHFCANSGYPDEDILGKYGVSWMKRFIDDDRRYDQFLCGPNHEAEWNISEYRDTCNY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inlineStr">
        <is>
          <t>PC8</t>
        </is>
      </c>
      <c r="Z285" s="5" t="inlineStr">
        <is>
          <t>MBA55398.1</t>
        </is>
      </c>
      <c r="AA285" s="5" t="inlineStr">
        <is>
          <t>Direct</t>
        </is>
      </c>
      <c r="AB285" s="5" t="n">
        <v>341</v>
      </c>
      <c r="AC285" s="5" t="inlineStr">
        <is>
          <t>10.1038/s41467-023-40233-w</t>
        </is>
      </c>
      <c r="AD285" s="5" t="inlineStr">
        <is>
          <t>MITDFFKPLVFLAAVFSMQVFATTPTPQPEPEPPGGCSNCYQRGPDPTERALEADRGPYSVRTINVSSWVSGFGGGTIHYPVGTQGKMGAIAVIPGYVSYENSIEWWGGRLASWGFVVITMDTNSIYDQPDSRARQLSAALDYVIAQSNSGSSAISGMVDSNRLGAIGWSMGGGGTLKLSTDRYLKAAIPQAPWYSGFNDFDEITTPTLIIACELDAVAPVAQHASPFYNDIPRSTDKAFLEIRNGSHFCANSGYPDEDILGKYGVSWMKRFIDDDRRYDQFLCGPNHEAEWNISEYRDTCNY</t>
        </is>
      </c>
      <c r="AE285" s="5" t="inlineStr">
        <is>
          <t>Pseudomonadales bacterium</t>
        </is>
      </c>
      <c r="AF285" s="5" t="n">
        <v>1891229</v>
      </c>
      <c r="AG285" s="5" t="inlineStr">
        <is>
          <t>supp_unavailable</t>
        </is>
      </c>
      <c r="AH285" s="5" t="inlineStr">
        <is>
          <t>ncbi</t>
        </is>
      </c>
      <c r="AI285" s="5" t="n"/>
      <c r="AJ285" s="5" t="n"/>
      <c r="AK285" s="5" t="n"/>
      <c r="AL285" s="5" t="n">
        <v>1</v>
      </c>
    </row>
    <row r="286" ht="15" customHeight="1" s="12">
      <c r="A286" s="5" t="inlineStr">
        <is>
          <t>retrieving_only</t>
        </is>
      </c>
      <c r="B286" s="5" t="inlineStr">
        <is>
          <t>MKKLLKVLLIIFLVIVVLVIGLVIFLTIASGKQNAPKEYWNAIASEGTIEKEYNKLGSYEFESKVYDAPKVDSHDNNFVVYMPKEEGTYPLVVMVNGSGTPWDKYKAVFEHFASWGYVVVGCNYEISWDGKHASETLDFALNTKEIADKVDTSKVAVCGHSQGGEGAFNAALEYDNSDMYKAIISLSPTNQELALGLKWGFNLDTDDMYAYRLENVTIPTMIIAGTGKFDSETVTPLYKMEDMFEQLNTDVVMARLSNNVDHGAVLYEANGYVIAWLDYYLKGIETNGTAFFGNEAEIKNNTRYQDFTSQKVK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inlineStr">
        <is>
          <t>HG-5</t>
        </is>
      </c>
      <c r="Z286" s="5" t="inlineStr">
        <is>
          <t>WP_008690040.1</t>
        </is>
      </c>
      <c r="AA286" s="5" t="inlineStr">
        <is>
          <t>Direct</t>
        </is>
      </c>
      <c r="AB286" s="5" t="n">
        <v>226</v>
      </c>
      <c r="AC286" s="5" t="inlineStr">
        <is>
          <t>10.3390/microorganisms12010138</t>
        </is>
      </c>
      <c r="AD286" s="5" t="inlineStr">
        <is>
          <t>MKKLLKVLLIIFLVIVVLVIGLVIFLTIASGKQNAPKEYWNAIASEGTIEKEYNKLGSYEFESKVYDAPKVDSHDNNFVVYMPKEEGTYPLVVMVNGSGTPWDKYKAVFEHFASWGYVVVGCNYEISWDGKHASETLDFALNTKEIADKVDTSKVAVCGHSQGGEGAFNAALEYDNSDMYKAIISLSPTNQELALGLKWGFNLDTDDMYAYRLENVTIPTMIIAGTGKFDSETVTPLYKMEDMFEQLNTDVVMARLSNNVDHGAVLYEANGYVIAWLDYYLKGIETNGTAFFGNEAEIKNNTRYQDFTSQKVK</t>
        </is>
      </c>
      <c r="AE286" s="5" t="inlineStr">
        <is>
          <t>Longicatena bacterium</t>
        </is>
      </c>
      <c r="AF286" s="5" t="n"/>
      <c r="AG286" s="5" t="inlineStr">
        <is>
          <t>supp_unavailable</t>
        </is>
      </c>
      <c r="AH286" s="5" t="inlineStr">
        <is>
          <t>ncbi</t>
        </is>
      </c>
      <c r="AI286" s="5" t="n"/>
      <c r="AJ286" s="5" t="n"/>
      <c r="AK286" s="5" t="n"/>
      <c r="AL286" s="5" t="n">
        <v>1</v>
      </c>
    </row>
    <row r="287" ht="15" customHeight="1" s="12">
      <c r="A287" s="5" t="inlineStr">
        <is>
          <t>retrieving_only</t>
        </is>
      </c>
      <c r="B287" s="5" t="inlineStr">
        <is>
          <t>MSSAFHPGPLDALCDVPGLSVGHAQNEPARTGCTVVLPRQPAVTGVDIRGSAPGTHEVALLEPGRLVQHVHAICLTGGSSFGLQSAIGVQQFLEEKNIGFDVGVARVPIVPAAVIFDLAVGRADVRPDSAMGYAAARAATDTDTACGRIGAGTGATVGKILGHELAVSGGIGQASEVIGEGVIVAALTVVNPLGNIIDPASGKILAGARRDGIYVDAGRVMREQPEQLMRVWGQNTTLAVVATNAKLDKLQATKVAQMAHDGFGRVIHPAHTQFDGDLIFALSCGDKQMDSMIIGSVAADVVARSIIKAVSD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inlineStr">
        <is>
          <t>Nyl68</t>
        </is>
      </c>
      <c r="Z287" s="5" t="inlineStr">
        <is>
          <t>A0A7V5VEC1</t>
        </is>
      </c>
      <c r="AA287" s="5" t="inlineStr">
        <is>
          <t>Direct</t>
        </is>
      </c>
      <c r="AB287" s="5" t="n">
        <v>370</v>
      </c>
      <c r="AC287" s="5" t="inlineStr">
        <is>
          <t>10.1016/j.checat.2025.101418</t>
        </is>
      </c>
      <c r="AD287" s="5" t="inlineStr">
        <is>
          <t>MSSAFHPGPLDALCDVPGLSVGHAQNEPARTGCTVVLPRQPAVTGVDIRGSAPGTHEVALLEPGRLVQHVHAICLTGGSSFGLQSAIGVQQFLEEKNIGFDVGVARVPIVPAAVIFDLAVGRADVRPDSAMGYAAARAATDTDTACGRIGAGTGATVGKILGHELAVSGGIGQASEVIGEGVIVAALTVVNPLGNIIDPASGKILAGARRDGIYVDAGRVMREQPEQLMRVWGQNTTLAVVATNAKLDKLQATKVAQMAHDGFGRVIHPAHTQFDGDLIFALSCGDKQMDSMIIGSVAADVVARSIIKAVSD</t>
        </is>
      </c>
      <c r="AE287" s="5" t="inlineStr">
        <is>
          <t>Bacteroidota bacterium</t>
        </is>
      </c>
      <c r="AF287" s="5" t="n">
        <v>1898104</v>
      </c>
      <c r="AG287" s="5" t="inlineStr">
        <is>
          <t>supp_unavailable</t>
        </is>
      </c>
      <c r="AH287" s="5" t="inlineStr">
        <is>
          <t>uniparc</t>
        </is>
      </c>
      <c r="AI287" s="5" t="n"/>
      <c r="AJ287" s="5" t="n"/>
      <c r="AK287" s="5" t="n"/>
      <c r="AL287" s="5" t="n">
        <v>1</v>
      </c>
    </row>
    <row r="288" ht="15" customHeight="1" s="12">
      <c r="A288" s="5" t="inlineStr">
        <is>
          <t>retrieving_only</t>
        </is>
      </c>
      <c r="B288" s="5" t="inlineStr">
        <is>
          <t>MHTRSLFALLTLTIATLVSPAQAQAAANPYERGPAPTVASIEASRGPFAIAQTTVAASAVRGFGGGTIYYPTSTSEGTFGAVAISPGFTARQTSVAWYGPRLASQGFVVITIDTLSTLDQPDQRGAQLLAALDYLVQTSSVRSRIDGTRLGVMGHSMGGGGSLRAAATRPALQAAIPLTAWHTTKNWSSVQVPTLIVGAENDTTASVSAHSEPFYQSLSSTPDKAYLELNNAGHSAPTSANTTIAKYSISWLKRFIDNDTRYEQFLCPPPPPSSLIEEYRHTCPHS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inlineStr">
        <is>
          <t>KaPETase</t>
        </is>
      </c>
      <c r="Z288" s="5" t="inlineStr">
        <is>
          <t>WP_143447025.1</t>
        </is>
      </c>
      <c r="AA288" s="5" t="inlineStr">
        <is>
          <t>Direct</t>
        </is>
      </c>
      <c r="AB288" s="5" t="n">
        <v>480</v>
      </c>
      <c r="AC288" s="5" t="inlineStr">
        <is>
          <t>10.1016/j.jclepro.2025.145624</t>
        </is>
      </c>
      <c r="AD288" s="5" t="inlineStr">
        <is>
          <t>MHTRSLFALLTLTIATLVSPAQAQAAANPYERGPAPTVASIEASRGPFAIAQTTVAASAVRGFGGGTIYYPTSTSEGTFGAVAISPGFTARQTSVAWYGPRLASQGFVVITIDTLSTLDQPDQRGAQLLAALDYLVQTSSVRSRIDGTRLGVMGHSMGGGGSLRAAATRPALQAAIPLTAWHTTKNWSSVQVPTLIVGAENDTTASVSAHSEPFYQSLSSTPDKAYLELNNAGHSAPTSANTTIAKYSISWLKRFIDNDTRYEQFLCPPPPPSSLIEEYRHTCPHS</t>
        </is>
      </c>
      <c r="AE288" s="5" t="inlineStr">
        <is>
          <t>Kibdelosporangium aridum</t>
        </is>
      </c>
      <c r="AF288" s="5" t="n">
        <v>2030</v>
      </c>
      <c r="AG288" s="5" t="inlineStr">
        <is>
          <t>supp_unavailable</t>
        </is>
      </c>
      <c r="AH288" s="5" t="inlineStr">
        <is>
          <t>ncbi</t>
        </is>
      </c>
      <c r="AI288" s="5" t="n"/>
      <c r="AJ288" s="5" t="n"/>
      <c r="AK288" s="5" t="n"/>
      <c r="AL288" s="5" t="n">
        <v>1</v>
      </c>
    </row>
    <row r="289" ht="15" customHeight="1" s="12">
      <c r="A289" s="5" t="inlineStr">
        <is>
          <t>retrieving_only</t>
        </is>
      </c>
      <c r="B289" s="5" t="inlineStr">
        <is>
          <t>MSQHESTALASRPARAWLARKAVAGTAVVLGLVAGMAAPQPALAADNPYQRGPNPTAASIAATTGPFAIASVSVARGNGFGGGVIYYPTDTSQGTFGAIAISPGLNGTWPGIAWLGPRLASQGFVVFGIETNNLNDSPTSRGTQLLAALDYLTQRSSVRTRVDATRLAVAGHSMGGGGALDAALRRPSLQAAIGNAPYLPSGNLSTDRVPTLIYAMQNDTLVPPSRLTTMYNTIPATTERGYIQITGAGHNYIGQPSTNLARTMIPWFKIFIDNDTRFSQFLCPLSNMSGISQYRNSCPLI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inlineStr">
        <is>
          <t>ESM159</t>
        </is>
      </c>
      <c r="Z289" s="5" t="inlineStr">
        <is>
          <t>WP_203906211.1</t>
        </is>
      </c>
      <c r="AA289" s="5" t="inlineStr">
        <is>
          <t>Direct</t>
        </is>
      </c>
      <c r="AB289" s="5" t="n">
        <v>446</v>
      </c>
      <c r="AC289" s="5" t="inlineStr">
        <is>
          <t>10.1021/acscatal.5c03460</t>
        </is>
      </c>
      <c r="AD289" s="5" t="inlineStr">
        <is>
          <t>MSQHESTALASRPARAWLARKAVAGTAVVLGLVAGMAAPQPALAADNPYQRGPNPTAASIAATTGPFAIASVSVARGNGFGGGVIYYPTDTSQGTFGAIAISPGLNGTWPGIAWLGPRLASQGFVVFGIETNNLNDSPTSRGTQLLAALDYLTQRSSVRTRVDATRLAVAGHSMGGGGALDAALRRPSLQAAIGNAPYLPSGNLSTDRVPTLIYAMQNDTLVPPSRLTTMYNTIPATTERGYIQITGAGHNYIGQPSTNLARTMIPWFKIFIDNDTRFSQFLCPLSNMSGISQYRNSCPLI</t>
        </is>
      </c>
      <c r="AE289" s="5" t="inlineStr">
        <is>
          <t>Rhizocola hellebori</t>
        </is>
      </c>
      <c r="AF289" s="5" t="n">
        <v>1392758</v>
      </c>
      <c r="AG289" s="5" t="inlineStr">
        <is>
          <t>seq_in_supp</t>
        </is>
      </c>
      <c r="AH289" s="5" t="inlineStr">
        <is>
          <t>ncbi</t>
        </is>
      </c>
      <c r="AI289" s="5" t="n"/>
      <c r="AJ289" s="5" t="n"/>
      <c r="AK289" s="5" t="n"/>
      <c r="AL289" s="5" t="n">
        <v>1</v>
      </c>
    </row>
    <row r="290" ht="15" customHeight="1" s="12">
      <c r="A290" s="5" t="inlineStr">
        <is>
          <t>retrieving_only</t>
        </is>
      </c>
      <c r="B290" s="5" t="inlineStr">
        <is>
          <t>MKALTFSKSFLSAIAAGALMLSASAMANNPPPPDDPGAPSPYQRGPDPTVSFVEASRGNYRVATSNVSSLVSGFGGGTIHYPSNATGTMGAIVVIPGYVSGEGSIDWWGPKLASYGFVVMTIGTNSGFDQPPSRARQINNALDYLVEQNTRTGSPVRGMIDPSRLGVIGWSMGGGGTIRVAGEGRIKAAIPLAPWDTSSIPSRGVQAPTLIFACQSDVVAPVRSHASPFYNALPGSISKAFVNLNNGNHFCANGGSSFGRYDAALGRLGVSWMKRFLDEDRRYSQFLCGPNHTGDRQITEYRGNCPY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inlineStr">
        <is>
          <t>MG8</t>
        </is>
      </c>
      <c r="Z290" s="5" t="inlineStr">
        <is>
          <t>MGYP000532440779</t>
        </is>
      </c>
      <c r="AA290" s="5" t="inlineStr">
        <is>
          <t>Direct</t>
        </is>
      </c>
      <c r="AB290" s="5" t="n">
        <v>13</v>
      </c>
      <c r="AC290" s="5" t="inlineStr">
        <is>
          <t>10.1002/anie.202203061</t>
        </is>
      </c>
      <c r="AD290" s="5" t="inlineStr">
        <is>
          <t>MKALTFSKSFLSAIAAGALMLSASAMANNPPPPDDPGAPSPYQRGPDPTVSFVEASRGNYRVATSNVSSLVSGFGGGTIHYPSNATGTMGAIVVIPGYVSGEGSIDWWGPKLASYGFVVMTIGTNSGFDQPPSRARQINNALDYLVEQNTRTGSPVRGMIDPSRLGVIGWSMGGGGTIRVAGEGRIKAAIPLAPWDTSSIPSRGVQAPTLIFACQSDVVAPVRSHASPFYNALPGSISKAFVNLNNGNHFCANGGSSFGRYDAALGRLGVSWMKRFLDEDRRYSQFLCGPNHTGDRQITEYRGNCPY</t>
        </is>
      </c>
      <c r="AE290" s="5" t="inlineStr">
        <is>
          <t>Oral metagenome</t>
        </is>
      </c>
      <c r="AF290" s="5" t="n">
        <v>306</v>
      </c>
      <c r="AG290" s="5" t="inlineStr">
        <is>
          <t>no_sequence</t>
        </is>
      </c>
      <c r="AH290" s="5" t="inlineStr">
        <is>
          <t>mgnify</t>
        </is>
      </c>
      <c r="AI290" s="5" t="n"/>
      <c r="AJ290" s="5" t="n"/>
      <c r="AK290" s="5" t="n"/>
      <c r="AL290" s="5" t="n">
        <v>1</v>
      </c>
    </row>
    <row r="291" ht="15" customHeight="1" s="12">
      <c r="A291" s="5" t="inlineStr">
        <is>
          <t>retrieving_only</t>
        </is>
      </c>
      <c r="B291" s="5" t="inlineStr">
        <is>
          <t>MSQIQLSSPEPSVQRGSGHVSGPLRGAVIACAVALGLLASTVAVGSASAADNPHQRGPNPTQASISANRGTFATAETSVGSGNGFGAAKIYYPTDTSQGTFGAIAVSPGYTATWAAEGAWMGHWLASFGFVVIGIDTINRNDFDVARGTQLLAALDYLTQRSSVRTRVDPHRLAVMGHSMGGGGTISAALRRPTLKAAIGLAPYSPSQTTTGMQVPTMLLAGQNDGTSTPASIITLHNNIPASTEKAYLELTGAGHGFPTSSNSVVTRKVIPWMKIFIDQDTRYTQFLCPLQDWTGIRSYRNSCPLLPNDPGTTFSLAGSASGKCVDVPGRVRTNGTGLIIWTCNGAANQHWTRTAAGELWIYGNSKCMDASGQGARVTINSCNGGSGQKWTVGTNGTVTNAASAGCLDTGGTADNAPVIVNTCNGGSGQIWIKRS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>
        <v>1506</v>
      </c>
      <c r="Z291" s="5" t="inlineStr">
        <is>
          <t>WP_084400763.1</t>
        </is>
      </c>
      <c r="AA291" s="5" t="inlineStr">
        <is>
          <t>Direct</t>
        </is>
      </c>
      <c r="AB291" s="5" t="n">
        <v>317</v>
      </c>
      <c r="AC291" s="5" t="inlineStr">
        <is>
          <t>10.1126/science.adp5637</t>
        </is>
      </c>
      <c r="AD291" s="5" t="inlineStr">
        <is>
          <t>MSQIQLSSPEPSVQRGSGHVSGPLRGAVIACAVALGLLASTVAVGSASAADNPHQRGPNPTQASISANRGTFATAETSVGSGNGFGAAKIYYPTDTSQGTFGAIAVSPGYTATWAAEGAWMGHWLASFGFVVIGIDTINRNDFDVARGTQLLAALDYLTQRSSVRTRVDPHRLAVMGHSMGGGGTISAALRRPTLKAAIGLAPYSPSQTTTGMQVPTMLLAGQNDGTSTPASIITLHNNIPASTEKAYLELTGAGHGFPTSSNSVVTRKVIPWMKIFIDQDTRYTQFLCPLQDWTGIRSYRNSCPLLPNDPGTTFSLAGSASGKCVDVPGRVRTNGTGLIIWTCNGAANQHWTRTAAGELWIYGNSKCMDASGQGARVTINSCNGGSGQKWTVGTNGTVTNAASAGCLDTGGTADNAPVIVNTCNGGSGQIWIKRS</t>
        </is>
      </c>
      <c r="AE291" s="5" t="inlineStr">
        <is>
          <t>Lentzea albidocapillata</t>
        </is>
      </c>
      <c r="AF291" s="5" t="n">
        <v>40571</v>
      </c>
      <c r="AG291" s="5" t="inlineStr">
        <is>
          <t>supp_unavailable</t>
        </is>
      </c>
      <c r="AH291" s="5" t="inlineStr">
        <is>
          <t>ncbi</t>
        </is>
      </c>
      <c r="AI291" s="5" t="n"/>
      <c r="AJ291" s="5" t="n"/>
      <c r="AK291" s="5" t="n"/>
      <c r="AL291" s="5" t="n">
        <v>1</v>
      </c>
    </row>
    <row r="292" ht="15" customHeight="1" s="12">
      <c r="A292" s="5" t="inlineStr">
        <is>
          <t>retrieving_only</t>
        </is>
      </c>
      <c r="B292" s="5" t="inlineStr">
        <is>
          <t>MKITAHNTARGVANFAKASLFVAALTVSALANAQYQKGPDPTVSALERTGSFATRTTTVSRTSASGFGGGTIYYPTASGSYGAIAISPGFTAYQSSISWMGTRLASHGFVVITIDTITTSDQPDSRGRQLKAALDKVVSLSRSSSSPIYNKVDTTRLAVAGHSMGGGGTLAAARDYPSLKAAVPLAPWHTTKSWSRVTVPTLIIGGSTDTIASVGLHSIPFYTSLPSSTNKAYMELSGEGHFFPQTSSNYPLVGRYMISWFKRFVDGDSRYSPFLCGAQHQADLGLFSDISDYRENCPY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inlineStr">
        <is>
          <t>ESM169</t>
        </is>
      </c>
      <c r="Z292" s="5" t="inlineStr">
        <is>
          <t>MBT9528079.1</t>
        </is>
      </c>
      <c r="AA292" s="5" t="inlineStr">
        <is>
          <t>Direct</t>
        </is>
      </c>
      <c r="AB292" s="5" t="n">
        <v>449</v>
      </c>
      <c r="AC292" s="5" t="inlineStr">
        <is>
          <t>10.1021/acscatal.5c03460</t>
        </is>
      </c>
      <c r="AD292" s="5" t="inlineStr">
        <is>
          <t>MKITAHNTARGVANFAKASLFVAALTVSALANAQYQKGPDPTVSALERTGSFATRTTTVSRTSASGFGGGTIYYPTASGSYGAIAISPGFTAYQSSISWMGTRLASHGFVVITIDTITTSDQPDSRGRQLKAALDKVVSLSRSSSSPIYNKVDTTRLAVAGHSMGGGGTLAAARDYPSLKAAVPLAPWHTTKSWSRVTVPTLIIGGSTDTIASVGLHSIPFYTSLPSSTNKAYMELSGEGHFFPQTSSNYPLVGRYMISWFKRFVDGDSRYSPFLCGAQHQADLGLFSDISDYRENCPY</t>
        </is>
      </c>
      <c r="AE292" s="5" t="inlineStr">
        <is>
          <t>Rhizobacter sp.</t>
        </is>
      </c>
      <c r="AF292" s="5" t="n">
        <v>1909292</v>
      </c>
      <c r="AG292" s="5" t="inlineStr">
        <is>
          <t>seq_in_supp</t>
        </is>
      </c>
      <c r="AH292" s="5" t="inlineStr">
        <is>
          <t>ncbi</t>
        </is>
      </c>
      <c r="AI292" s="5" t="n"/>
      <c r="AJ292" s="5" t="n"/>
      <c r="AK292" s="5" t="n"/>
      <c r="AL292" s="5" t="n">
        <v>1</v>
      </c>
    </row>
    <row r="293" ht="15" customHeight="1" s="12">
      <c r="A293" s="5" t="inlineStr">
        <is>
          <t>retrieving_only</t>
        </is>
      </c>
      <c r="B293" s="5" t="inlineStr">
        <is>
          <t>MSSAETPGTIPRRVPDPHRAGVRSPRRPRTGFLAGIVAALLVLVGSVTMSTASA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inlineStr">
        <is>
          <t>ESM021</t>
        </is>
      </c>
      <c r="Z293" s="5" t="inlineStr">
        <is>
          <t>WP_210157342.1</t>
        </is>
      </c>
      <c r="AA293" s="5" t="inlineStr">
        <is>
          <t>Direct</t>
        </is>
      </c>
      <c r="AB293" s="5" t="n">
        <v>409</v>
      </c>
      <c r="AC293" s="5" t="inlineStr">
        <is>
          <t>10.1021/acscatal.5c03460</t>
        </is>
      </c>
      <c r="AD293" s="5" t="inlineStr">
        <is>
          <t>MSSAETPGTIPRRVPDPHRAGVRSPRRPRTGFLAGIVAALLVLVGSVTMSTASA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      </is>
      </c>
      <c r="AE293" s="5" t="inlineStr">
        <is>
          <t>Microbispora oryzae</t>
        </is>
      </c>
      <c r="AF293" s="5" t="n">
        <v>2806554</v>
      </c>
      <c r="AG293" s="5" t="inlineStr">
        <is>
          <t>seq_in_supp</t>
        </is>
      </c>
      <c r="AH293" s="5" t="inlineStr">
        <is>
          <t>ncbi</t>
        </is>
      </c>
      <c r="AI293" s="5" t="n"/>
      <c r="AJ293" s="5" t="n"/>
      <c r="AK293" s="5" t="n"/>
      <c r="AL293" s="5" t="n">
        <v>1</v>
      </c>
    </row>
    <row r="294" ht="15" customHeight="1" s="12">
      <c r="A294" s="5" t="inlineStr">
        <is>
          <t>retrieving_only</t>
        </is>
      </c>
      <c r="B294" s="5" t="inlineStr">
        <is>
          <t>MKIQQFLKAALLVGAGLITASASAVQIGPNPTKSSLEASRGPFSTSQFTVSRPSGYGAGTVYYPTNAGAKVGAIAIVPGFLSYQSSINWWGPRLASHGFVVITIDTYTTGDQPDSRSRQQLAALDQVIALGNTSSSPIYGKVDGSRTGVMGWSMGGGGSLISAKNRPSIKAAAPQAPWNTSTNFSSVTVPTLIFACQSDIVAPVISHAIPFYNSMTRNPKQYLEKTLGDHFCFNNANATVGLKGVAWMKRFVDGDTRYTSFACSNPNAFGFSDFRTARCS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inlineStr">
        <is>
          <t>ESM045</t>
        </is>
      </c>
      <c r="Z294" s="5" t="inlineStr">
        <is>
          <t>MBX3621832.1</t>
        </is>
      </c>
      <c r="AA294" s="5" t="inlineStr">
        <is>
          <t>Direct</t>
        </is>
      </c>
      <c r="AB294" s="5" t="n">
        <v>416</v>
      </c>
      <c r="AC294" s="5" t="inlineStr">
        <is>
          <t>10.1021/acscatal.5c03460</t>
        </is>
      </c>
      <c r="AD294" s="5" t="inlineStr">
        <is>
          <t>MKIQQFLKAALLVGAGLITASASAVQIGPNPTKSSLEASRGPFSTSQFTVSRPSGYGAGTVYYPTNAGAKVGAIAIVPGFLSYQSSINWWGPRLASHGFVVITIDTYTTGDQPDSRSRQQLAALDQVIALGNTSSSPIYGKVDGSRTGVMGWSMGGGGSLISAKNRPSIKAAAPQAPWNTSTNFSSVTVPTLIFACQSDIVAPVISHAIPFYNSMTRNPKQYLEKTLGDHFCFNNANATVGLKGVAWMKRFVDGDTRYTSFACSNPNAFGFSDFRTARCS</t>
        </is>
      </c>
      <c r="AE294" s="5" t="inlineStr">
        <is>
          <t>Rhizobacter sp.</t>
        </is>
      </c>
      <c r="AF294" s="5" t="n">
        <v>1909292</v>
      </c>
      <c r="AG294" s="5" t="inlineStr">
        <is>
          <t>seq_in_supp</t>
        </is>
      </c>
      <c r="AH294" s="5" t="inlineStr">
        <is>
          <t>ncbi</t>
        </is>
      </c>
      <c r="AI294" s="5" t="n"/>
      <c r="AJ294" s="5" t="n"/>
      <c r="AK294" s="5" t="n"/>
      <c r="AL294" s="5" t="n">
        <v>1</v>
      </c>
    </row>
    <row r="295" ht="15" customHeight="1" s="12">
      <c r="A295" s="5" t="inlineStr">
        <is>
          <t>retrieving_only</t>
        </is>
      </c>
      <c r="B295" s="5" t="inlineStr">
        <is>
          <t>MKASLATAALFVASLLVSSHVLSAPGPSAPCSNCTRGPNPTEASLKSDRGPFTTARFSVSGFLKGFGDSTVYYPTNTTGRMGAIAVIPGYLSYESSIEWWGPRLASHGFVVMTMNTSTIYDQPDSRATQLSKALDYLIAQSNTSSSPIYNKIDSTRLGAIGWSMGGGGSLKLSTQRSLNAIIPQAPWYSGSNSFNTIKTPALILACSADTVAPVSVHASPFYNRIPGSTPKAFLEIYGGSHFCANSGYPNEDLLGLYGIAWMKRFIDFDNRYSQFLCGPNHEGDFAISDYRQNCPY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inlineStr">
        <is>
          <t>ESM096</t>
        </is>
      </c>
      <c r="Z295" s="5" t="inlineStr">
        <is>
          <t>WP_252275389.1</t>
        </is>
      </c>
      <c r="AA295" s="5" t="inlineStr">
        <is>
          <t>Direct</t>
        </is>
      </c>
      <c r="AB295" s="5" t="n">
        <v>434</v>
      </c>
      <c r="AC295" s="5" t="inlineStr">
        <is>
          <t>10.1021/acscatal.5c03460</t>
        </is>
      </c>
      <c r="AD295" s="5" t="inlineStr">
        <is>
          <t>MKASLATAALFVASLLVSSHVLSAPGPSAPCSNCTRGPNPTEASLKSDRGPFTTARFSVSGFLKGFGDSTVYYPTNTTGRMGAIAVIPGYLSYESSIEWWGPRLASHGFVVMTMNTSTIYDQPDSRATQLSKALDYLIAQSNTSSSPIYNKIDSTRLGAIGWSMGGGGSLKLSTQRSLNAIIPQAPWYSGSNSFNTIKTPALILACSADTVAPVSVHASPFYNRIPGSTPKAFLEIYGGSHFCANSGYPNEDLLGLYGIAWMKRFIDFDNRYSQFLCGPNHEGDFAISDYRQNCPY</t>
        </is>
      </c>
      <c r="AE295" s="5" t="inlineStr">
        <is>
          <t>Pseudomonas subflava</t>
        </is>
      </c>
      <c r="AF295" s="5" t="n">
        <v>2952933</v>
      </c>
      <c r="AG295" s="5" t="inlineStr">
        <is>
          <t>seq_in_supp</t>
        </is>
      </c>
      <c r="AH295" s="5" t="inlineStr">
        <is>
          <t>ncbi</t>
        </is>
      </c>
      <c r="AI295" s="5" t="n"/>
      <c r="AJ295" s="5" t="n"/>
      <c r="AK295" s="5" t="n"/>
      <c r="AL295" s="5" t="n">
        <v>1</v>
      </c>
    </row>
    <row r="296" ht="15" customHeight="1" s="12">
      <c r="A296" s="5" t="inlineStr">
        <is>
          <t>retrieving_only</t>
        </is>
      </c>
      <c r="B296" s="5" t="inlineStr">
        <is>
          <t>MKFEEYRQHDALGLAELVARGETTAVDLLHCAQTRAAAVNPALNAIVIPMAEIAKKRVQETLSGPFAGVPFLIKDIAQDYAGVPTTAGSRALRDYRPDRHSSYVQRALDSGLVIFGKTNTPEFALKGTTEPAFWGATRNPWDKTRTPGGSSGGAAAAVAAGIVPMAGASDGGGSIRIPASHCGLFGLRPSRGRVPSGPYFAEFWHGASSEHVLTRSVRDSAAMLDALQGPDTGAPFRIRPPERPYREEITHEPGRLRIAYSTRSPLGLGVDADCVRAVESSIALLRRLGHEVEEAEPVVDGRALAEAFLTMYMGQTAANMAEAQRLTGAAESDFELDTRALASLGRALSAGEYTRSLFRWNDFARAVGEFFKHYDLYLTPTVATVPALIGEQDTPLWQQLALRPALPLGKLLLKSGQVQKNAYNNLWRVPFTQSNLSGTPSMSVPLHWTAAGLPVGVQFMAPSGEEARLLRLAAQLEQEQPWFARVPALEHHHHHH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inlineStr">
        <is>
          <t>pQR3141</t>
        </is>
      </c>
      <c r="Z296" s="5" t="n"/>
      <c r="AA296" s="5" t="inlineStr">
        <is>
          <t>Direct</t>
        </is>
      </c>
      <c r="AB296" s="5" t="n">
        <v>492</v>
      </c>
      <c r="AC296" s="5" t="inlineStr">
        <is>
          <t>10.1039/d5gc03560k</t>
        </is>
      </c>
      <c r="AD296" s="5" t="inlineStr">
        <is>
          <t>MKFEEYRQHDALGLAELVARGETTAVDLLHCAQTRAAAVNPALNAIVIPMAEIAKKRVQETLSGPFAGVPFLIKDIAQDYAGVPTTAGSRALRDYRPDRHSSYVQRALDSGLVIFGKTNTPEFALKGTTEPAFWGATRNPWDKTRTPGGSSGGAAAAVAAGIVPMAGASDGGGSIRIPASHCGLFGLRPSRGRVPSGPYFAEFWHGASSEHVLTRSVRDSAAMLDALQGPDTGAPFRIRPPERPYREEITHEPGRLRIAYSTRSPLGLGVDADCVRAVESSIALLRRLGHEVEEAEPVVDGRALAEAFLTMYMGQTAANMAEAQRLTGAAESDFELDTRALASLGRALSAGEYTRSLFRWNDFARAVGEFFKHYDLYLTPTVATVPALIGEQDTPLWQQLALRPALPLGKLLLKSGQVQKNAYNNLWRVPFTQSNLSGTPSMSVPLHWTAAGLPVGVQFMAPSGEEARLLRLAAQLEQEQPWFARVPALEHHHHHH</t>
        </is>
      </c>
      <c r="AE296" s="5" t="n"/>
      <c r="AF296" s="5" t="n"/>
      <c r="AG296" s="5" t="n"/>
      <c r="AH296" s="5" t="n"/>
      <c r="AI296" s="5" t="n"/>
      <c r="AJ296" s="5" t="n"/>
      <c r="AK296" s="5" t="n"/>
      <c r="AL296" s="5" t="n">
        <v>1</v>
      </c>
    </row>
    <row r="297" ht="15" customHeight="1" s="12">
      <c r="A297" s="5" t="inlineStr">
        <is>
          <t>retrieving_only</t>
        </is>
      </c>
      <c r="B297" s="5" t="inlineStr">
        <is>
          <t>MSRVRKFLAATTIGLGLLAGSVAVSPASAADNPYQRGPDPTAASIAAVTGPFATASVTVPRGNGFGGGVIYYPTDTSQGTFGGIAISPGLNGTWPGIAWLGPRLASQGFVVFGIETNNLNDSPTSRGTQLLAALDYLTGSSSVRTRVDAGRLAVAGHSMGGGGALDAALRRPSLRATIGNAPHLPSGSLANDRVPTLIYAMQNDTLVPPSRLTSLYNTVPATTERGYLEITGAGHNYIGQPSTILARTMIPWLKIFVDDDARYSQFLCPLTDRSGISQYQSSCPLITTSPTTGPTAQPTTAAPTTTPTTPPVGGPCEATHRTVNSWSGGYQGEVTVRAGSAAINGWTVSWTLGSGQTINQVWGGALTASGTAATVRNETWNGPVAAGASTTFGYIATGNAPTQPLACSAR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inlineStr">
        <is>
          <t>ESM060</t>
        </is>
      </c>
      <c r="Z297" s="5" t="inlineStr">
        <is>
          <t>WP_203790592.1</t>
        </is>
      </c>
      <c r="AA297" s="5" t="inlineStr">
        <is>
          <t>Direct</t>
        </is>
      </c>
      <c r="AB297" s="5" t="n">
        <v>421</v>
      </c>
      <c r="AC297" s="5" t="inlineStr">
        <is>
          <t>10.1021/acscatal.5c03460</t>
        </is>
      </c>
      <c r="AD297" s="5" t="inlineStr">
        <is>
          <t>MSRVRKFLAATTIGLGLLAGSVAVSPASAADNPYQRGPDPTAASIAAVTGPFATASVTVPRGNGFGGGVIYYPTDTSQGTFGGIAISPGLNGTWPGIAWLGPRLASQGFVVFGIETNNLNDSPTSRGTQLLAALDYLTGSSSVRTRVDAGRLAVAGHSMGGGGALDAALRRPSLRATIGNAPHLPSGSLANDRVPTLIYAMQNDTLVPPSRLTSLYNTVPATTERGYLEITGAGHNYIGQPSTILARTMIPWLKIFVDDDARYSQFLCPLTDRSGISQYQSSCPLITTSPTTGPTAQPTTAAPTTTPTTPPVGGPCEATHRTVNSWSGGYQGEVTVRAGSAAINGWTVSWTLGSGQTINQVWGGALTASGTAATVRNETWNGPVAAGASTTFGYIATGNAPTQPLACSAR</t>
        </is>
      </c>
      <c r="AE297" s="5" t="inlineStr">
        <is>
          <t>Paractinoplanes rishiriensis</t>
        </is>
      </c>
      <c r="AF297" s="5" t="n">
        <v>1050105</v>
      </c>
      <c r="AG297" s="5" t="inlineStr">
        <is>
          <t>seq_in_supp</t>
        </is>
      </c>
      <c r="AH297" s="5" t="inlineStr">
        <is>
          <t>ncbi</t>
        </is>
      </c>
      <c r="AI297" s="5" t="n"/>
      <c r="AJ297" s="5" t="n"/>
      <c r="AK297" s="5" t="n"/>
      <c r="AL297" s="5" t="n">
        <v>1</v>
      </c>
    </row>
    <row r="298" ht="15" customHeight="1" s="12">
      <c r="A298" s="5" t="inlineStr">
        <is>
          <t>retrieving_only</t>
        </is>
      </c>
      <c r="B298" s="5" t="inlineStr">
        <is>
          <t>MSRLRTLGAATLAAAALTMTAGAVASAGTPTGVQPNIVGGGTAPTVSWGAQVYVNTPGRQWDGFNCSGSVIAQRWVLTAKHCLDSDGTGMRVRVGSNQLQGGREIAVDRKVSSPAGSDISLLHLAADAGVTPIALASSNPSVGSTNQLYGWGRETPTGPPASALKVANVRVTGSSTDAYGGPAIQSVGIDGSAWKGDSGGPQVSNGVQVGVASTVQNQSGSNIRGTNNYGSVASARSWIRTTTGV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inlineStr">
        <is>
          <t>PLAase I</t>
        </is>
      </c>
      <c r="Z298" s="5" t="inlineStr">
        <is>
          <t>WP_037320891.1</t>
        </is>
      </c>
      <c r="AA298" s="5" t="inlineStr">
        <is>
          <t>Direct</t>
        </is>
      </c>
      <c r="AB298" s="5" t="n">
        <v>68</v>
      </c>
      <c r="AC298" s="5" t="inlineStr">
        <is>
          <t>10.1111/j.1574-6968.2008.01109.x</t>
        </is>
      </c>
      <c r="AD298" s="5" t="inlineStr">
        <is>
          <t>MSRLRTLGAATLAAAALTMTAGAVASAGTPTGVQPNIVGGGTAPTVSWGAQVYVNTPGRQWDGFNCSGSVIAQRWVLTAKHCLDSDGTGMRVRVGSNQLQGGREIAVDRKVSSPAGSDISLLHLAADAGVTPIALASSNPSVGSTNQLYGWGRETPTGPPASALKVANVRVTGSSTDAYGGPAIQSVGIDGSAWKGDSGGPQVSNGVQVGVASTVQNQSGSNIRGTNNYGSVASARSWIRTTTGV</t>
        </is>
      </c>
      <c r="AE298" s="5" t="inlineStr">
        <is>
          <t>Amycolatopsis orientalis</t>
        </is>
      </c>
      <c r="AF298" s="5" t="n">
        <v>31958</v>
      </c>
      <c r="AG298" s="5" t="inlineStr">
        <is>
          <t>supp_unavailable</t>
        </is>
      </c>
      <c r="AH298" s="5" t="inlineStr">
        <is>
          <t>ncbi</t>
        </is>
      </c>
      <c r="AI298" s="5" t="n"/>
      <c r="AJ298" s="5" t="n"/>
      <c r="AK298" s="5" t="n"/>
      <c r="AL298" s="5" t="n">
        <v>1</v>
      </c>
    </row>
    <row r="299" ht="15" customHeight="1" s="12">
      <c r="A299" s="5" t="inlineStr">
        <is>
          <t>retrieving_only</t>
        </is>
      </c>
      <c r="B299" s="5" t="inlineStr">
        <is>
          <t>MKFRALLFSASLIAILFNGLTINTVNAQTNDFLYGDQLPDAPELSSRGEYKVGVKTVNLVNPNQVDILNSKEGNDPTYDRPITIEVWYPANVGDDAKTVVYDEVMGTRGDSLRPLTPFTFKGRAYRDATPKTGNKFPLVVVSHGYVGSRYLMTYLTENLASKGYIVAAIDHTDSTFKDANAFQSTLLNRPKDIRFVINEMEKMGAKGSKNNLEGVVDANNTAIIGYSMGGYGVLNVGGAGYSAGLAQFFTGMTGGSTAISVHTAGNAAYEKMIDARIKAIVAFAPWGMERGVWDAEGLKGLKTPTFFIAGSQDDISGYEKGIKAIYEGAVNADRYLLTYMNARHNVAPNPPPAEALAPGLHIDEYYRYAEPSWDQRKMNNINQHFVTAFIGKHLKNQDSTKFLEVQEDSNEKDWTGFKPRSSTGMELLHAQPAN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inlineStr">
        <is>
          <t>PET93</t>
        </is>
      </c>
      <c r="Z299" s="5" t="inlineStr">
        <is>
          <t>WKW63607.1</t>
        </is>
      </c>
      <c r="AA299" s="5" t="inlineStr">
        <is>
          <t>Direct</t>
        </is>
      </c>
      <c r="AB299" s="5" t="n">
        <v>495</v>
      </c>
      <c r="AC299" s="5" t="inlineStr">
        <is>
          <t>10.1128/aem.01698-25</t>
        </is>
      </c>
      <c r="AD299" s="5" t="inlineStr">
        <is>
          <t>MKFRALLFSASLIAILFNGLTINTVNAQTNDFLYGDQLPDAPELSSRGEYKVGVKTVNLVNPNQVDILNSKEGNDPTYDRPITIEVWYPANVGDDAKTVVYDEVMGTRGDSLRPLTPFTFKGRAYRDATPKTGNKFPLVVVSHGYVGSRYLMTYLTENLASKGYIVAAIDHTDSTFKDANAFQSTLLNRPKDIRFVINEMEKMGAKGSKNNLEGVVDANNTAIIGYSMGGYGVLNVGGAGYSAGLAQFFTGMTGGSTAISVHTAGNAAYEKMIDARIKAIVAFAPWGMERGVWDAEGLKGLKTPTFFIAGSQDDISGYEKGIKAIYEGAVNADRYLLTYMNARHNVAPNPPPAEALAPGLHIDEYYRYAEPSWDQRKMNNINQHFVTAFIGKHLKNQDSTKFLEVQEDSNEKDWTGFKPRSSTGMELLHAQPAN</t>
        </is>
      </c>
      <c r="AE299" s="5" t="inlineStr">
        <is>
          <t>Maribacter dokdonensis</t>
        </is>
      </c>
      <c r="AF299" s="5" t="n">
        <v>320912</v>
      </c>
      <c r="AG299" s="5" t="inlineStr">
        <is>
          <t>supp_unavailable</t>
        </is>
      </c>
      <c r="AH299" s="5" t="inlineStr">
        <is>
          <t>ncbi</t>
        </is>
      </c>
      <c r="AI299" s="5" t="n"/>
      <c r="AJ299" s="5" t="n"/>
      <c r="AK299" s="5" t="n"/>
      <c r="AL299" s="5" t="n">
        <v>1</v>
      </c>
    </row>
    <row r="300" ht="15" customHeight="1" s="12">
      <c r="A300" s="5" t="inlineStr">
        <is>
          <t>retrieving_only</t>
        </is>
      </c>
      <c r="B300" s="5" t="inlineStr">
        <is>
          <t>MKFRLAKLAVLSCALASASAFAQYQKGPDPTTSSLERAGSFATRTISVSSLAASGFGGGRIYYPTASGSYGVIAVSPGYTGTASTMYFWGERLSSHGFVVIVIETNTLLDQPGSRANQLMAALNYTVSQGNSRTSALYGKVDGNRRGVAGHSMGGGGTLIAAADNASLKAAVPMAPWNLSSLSFRGIRVPTMIFGCQSDAIAPVNTHAVPFYNAIPSSTKKGYVEMRLDDHFCVMNGGGHYETLGKLGISWFKRFIDEDTRYSKFLCGTEYNATVRSTEVSDSKNNCP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inlineStr">
        <is>
          <t>DP039</t>
        </is>
      </c>
      <c r="Z300" s="5" t="inlineStr">
        <is>
          <t>WP_085750434.1</t>
        </is>
      </c>
      <c r="AA300" s="5" t="inlineStr">
        <is>
          <t>Direct</t>
        </is>
      </c>
      <c r="AB300" s="5" t="n">
        <v>389</v>
      </c>
      <c r="AC300" s="5" t="inlineStr">
        <is>
          <t>10.1021/acscatal.5c03460</t>
        </is>
      </c>
      <c r="AD300" s="5" t="inlineStr">
        <is>
          <t>MKFRLAKLAVLSCALASASAFAQYQKGPDPTTSSLERAGSFATRTISVSSLAASGFGGGRIYYPTASGSYGVIAVSPGYTGTASTMYFWGERLSSHGFVVIVIETNTLLDQPGSRANQLMAALNYTVSQGNSRTSALYGKVDGNRRGVAGHSMGGGGTLIAAADNASLKAAVPMAPWNLSSLSFRGIRVPTMIFGCQSDAIAPVNTHAVPFYNAIPSSTKKGYVEMRLDDHFCVMNGGGHYETLGKLGISWFKRFIDEDTRYSKFLCGTEYNATVRSTEVSDSKNNCPY</t>
        </is>
      </c>
      <c r="AE300" s="5" t="inlineStr">
        <is>
          <t>Piscinibacter gummiphilus</t>
        </is>
      </c>
      <c r="AF300" s="5" t="n">
        <v>946333</v>
      </c>
      <c r="AG300" s="5" t="inlineStr">
        <is>
          <t>seq_in_supp</t>
        </is>
      </c>
      <c r="AH300" s="5" t="inlineStr">
        <is>
          <t>ncbi</t>
        </is>
      </c>
      <c r="AI300" s="5" t="n"/>
      <c r="AJ300" s="5" t="n"/>
      <c r="AK300" s="5" t="n"/>
      <c r="AL300" s="5" t="n">
        <v>1</v>
      </c>
    </row>
    <row r="301" ht="15" customHeight="1" s="12">
      <c r="A301" s="5" t="inlineStr">
        <is>
          <t>retrieving_only</t>
        </is>
      </c>
      <c r="B301" s="5" t="inlineStr">
        <is>
          <t>MKIIRTLGAGIAAVALGFGLLAPSASVAAENDYERGPDPTSSSIEASRGPYAVSTKSISRFAARGFGGGTIHYPTTTADGTFGVVAVSPGYTASESTIRWLGPRLASFGFVVITFDTNSRYDQPRARGTQLLAAIDQAIGDSTVGSRIDPSRQAVVGHSMGGGGTLEAAKTRPSIEAAVGLTPWNLDKTWPEVEAAALQIGAQNDSVAPPRSHAVPFYGSLTNAERRAYLELRGASHFAPNTSNTTIAKYTLAWLKRYVDDDTRYEQFLAPGPSTGFGSAVSDYRIQ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inlineStr">
        <is>
          <t>dsPETase01</t>
        </is>
      </c>
      <c r="Z301" s="5" t="n"/>
      <c r="AA301" s="5" t="inlineStr">
        <is>
          <t>Direct</t>
        </is>
      </c>
      <c r="AB301" s="5" t="n">
        <v>236</v>
      </c>
      <c r="AC301" s="5" t="inlineStr">
        <is>
          <t>10.1038/s41586-024-07891-2</t>
        </is>
      </c>
      <c r="AD301" s="5" t="inlineStr">
        <is>
          <t>MKIIRTLGAGIAAVALGFGLLAPSASVAAENDYERGPDPTSSSIEASRGPYAVSTKSISRFAARGFGGGTIHYPTTTADGTFGVVAVSPGYTASESTIRWLGPRLASFGFVVITFDTNSRYDQPRARGTQLLAAIDQAIGDSTVGSRIDPSRQAVVGHSMGGGGTLEAAKTRPSIEAAVGLTPWNLDKTWPEVEAAALQIGAQNDSVAPPRSHAVPFYGSLTNAERRAYLELRGASHFAPNTSNTTIAKYTLAWLKRYVDDDTRYEQFLAPGPSTGFGSAVSDYRIQ</t>
        </is>
      </c>
      <c r="AE301" s="5" t="n"/>
      <c r="AF301" s="5" t="n"/>
      <c r="AG301" s="5" t="n"/>
      <c r="AH301" s="5" t="n"/>
      <c r="AI301" s="5" t="n"/>
      <c r="AJ301" s="5" t="n"/>
      <c r="AK301" s="5" t="n"/>
      <c r="AL301" s="5" t="n">
        <v>1</v>
      </c>
    </row>
    <row r="302" ht="15" customHeight="1" s="12">
      <c r="A302" s="5" t="inlineStr">
        <is>
          <t>retrieving_only</t>
        </is>
      </c>
      <c r="B302" s="5" t="inlineStr">
        <is>
          <t>MKHWLIMAMLVLLSPLSWANSADLFQIKGVKLGQMSDDEGLTGITVLRFDAGATASVDVRGAAPGTRETDLLKPENLVDKVHAIVLTGGSAFGLDAMSGVAHQLEKEGIGFDTGVAFVPIVTGAVLFDLGLGDAKSRPDFAMGAAATRAANRESAQQGNVGAGTGASVGKIRGMAHATKAGLGIATLALDNGLVVSAVVAVNAWGDVYDRQGQILAGTRNDEGTGYVSGTELIIQGAAEPGFVGRNTTIGAIITNATLTKSEALKVAQMAHDGYGRAIRPVHTLNDGDAIFAAGTGEIGPVNVNSLGVIAAEVMEQAIHNAIEQAEGAGGLPAARDLIKVETQ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inlineStr">
        <is>
          <t>Nyl11</t>
        </is>
      </c>
      <c r="Z302" s="5" t="inlineStr">
        <is>
          <t>WP_082766707.1</t>
        </is>
      </c>
      <c r="AA302" s="5" t="inlineStr">
        <is>
          <t>Direct</t>
        </is>
      </c>
      <c r="AB302" s="5" t="n">
        <v>345</v>
      </c>
      <c r="AC302" s="5" t="inlineStr">
        <is>
          <t>10.1016/j.checat.2025.101418</t>
        </is>
      </c>
      <c r="AD302" s="5" t="inlineStr">
        <is>
          <t>MKHWLIMAMLVLLSPLSWANSADLFQIKGVKLGQMSDDEGLTGITVLRFDAGATASVDVRGAAPGTRETDLLKPENLVDKVHAIVLTGGSAFGLDAMSGVAHQLEKEGIGFDTGVAFVPIVTGAVLFDLGLGDAKSRPDFAMGAAATRAANRESAQQGNVGAGTGASVGKIRGMAHATKAGLGIATLALDNGLVVSAVVAVNAWGDVYDRQGQILAGTRNDEGTGYVSGTELIIQGAAEPGFVGRNTTIGAIITNATLTKSEALKVAQMAHDGYGRAIRPVHTLNDGDAIFAAGTGEIGPVNVNSLGVIAAEVMEQAIHNAIEQAEGAGGLPAARDLIKVETQ</t>
        </is>
      </c>
      <c r="AE302" s="5" t="inlineStr">
        <is>
          <t>Ferrimonas marina</t>
        </is>
      </c>
      <c r="AF302" s="5" t="n">
        <v>299255</v>
      </c>
      <c r="AG302" s="5" t="inlineStr">
        <is>
          <t>supp_unavailable</t>
        </is>
      </c>
      <c r="AH302" s="5" t="inlineStr">
        <is>
          <t>ncbi</t>
        </is>
      </c>
      <c r="AI302" s="5" t="n"/>
      <c r="AJ302" s="5" t="n"/>
      <c r="AK302" s="5" t="n"/>
      <c r="AL302" s="5" t="n">
        <v>1</v>
      </c>
    </row>
    <row r="303" ht="15" customHeight="1" s="12">
      <c r="A303" s="5" t="inlineStr">
        <is>
          <t>retrieving_only</t>
        </is>
      </c>
      <c r="B303" s="5" t="inlineStr">
        <is>
          <t>MKAAVVAAVTGLLTALVAIQPAPAQSSSAAANPYERGPAPTVSSVAAQRGTFATAEVTVPPGNGFNGGKIYYPTDTSLGTWGAVAAVPGYTARWSAEGAWMGPWLASFGFVVIGIDTNSPNDYDTARGTQLLAALDYLTRKSPVHDRVDPNRLGVIGHSMGGGGAISAAERRPSLKAAVPLAPFSPSQNLSSLRVPTMIMGARDDGTVTPSYLDGLYSGMPAATQSAYIELTSGGHGFPTWGNSHVTRRAIPWLKIFLDNDTRYTQFLCPSPADSREVSRSQTKCPYVPPGGTTTPPSGEQIVGAASGRCLDVVNSSQTSGAQAHPWDCADRPGQKWARTDAGELRVYSNKCLDAEASGTSAGTRVVIWACHGRQNQRWNVNANGTITSVPSGLCLDTYNGGTGNGAQSVLGNCNGASTQRWTLR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>
        <v>1537</v>
      </c>
      <c r="Z303" s="5" t="inlineStr">
        <is>
          <t>OKK16161.1</t>
        </is>
      </c>
      <c r="AA303" s="5" t="inlineStr">
        <is>
          <t>Direct</t>
        </is>
      </c>
      <c r="AB303" s="5" t="n">
        <v>296</v>
      </c>
      <c r="AC303" s="5" t="inlineStr">
        <is>
          <t>10.1126/science.adp5637</t>
        </is>
      </c>
      <c r="AD303" s="5" t="inlineStr">
        <is>
          <t>MKAAVVAAVTGLLTALVAIQPAPAQSSSAAANPYERGPAPTVSSVAAQRGTFATAEVTVPPGNGFNGGKIYYPTDTSLGTWGAVAAVPGYTARWSAEGAWMGPWLASFGFVVIGIDTNSPNDYDTARGTQLLAALDYLTRKSPVHDRVDPNRLGVIGHSMGGGGAISAAERRPSLKAAVPLAPFSPSQNLSSLRVPTMIMGARDDGTVTPSYLDGLYSGMPAATQSAYIELTSGGHGFPTWGNSHVTRRAIPWLKIFLDNDTRYTQFLCPSPADSREVSRSQTKCPYVPPGGTTTPPSGEQIVGAASGRCLDVVNSSQTSGAQAHPWDCADRPGQKWARTDAGELRVYSNKCLDAEASGTSAGTRVVIWACHGRQNQRWNVNANGTITSVPSGLCLDTYNGGTGNGAQSVLGNCNGASTQRWTLR</t>
        </is>
      </c>
      <c r="AE303" s="5" t="inlineStr">
        <is>
          <t>Streptomyces sp. CB00455</t>
        </is>
      </c>
      <c r="AF303" s="5" t="n">
        <v>1703927</v>
      </c>
      <c r="AG303" s="5" t="inlineStr">
        <is>
          <t>supp_unavailable</t>
        </is>
      </c>
      <c r="AH303" s="5" t="inlineStr">
        <is>
          <t>ncbi</t>
        </is>
      </c>
      <c r="AI303" s="5" t="n"/>
      <c r="AJ303" s="5" t="n"/>
      <c r="AK303" s="5" t="n"/>
      <c r="AL303" s="5" t="n">
        <v>1</v>
      </c>
    </row>
    <row r="304" ht="15" customHeight="1" s="12">
      <c r="A304" s="5" t="inlineStr">
        <is>
          <t>retrieving_only</t>
        </is>
      </c>
      <c r="B304" s="5" t="inlineStr">
        <is>
          <t>MKLSVKIAGVLTVAAAAMTAKMYATAKGNHLKTHTFPLSKMKGKPPLTIFFISDIHKRLIDQDLLEKARSHAPHLVIIGGDLAEGGVPSARIEENIKRLVHFGVPIVFVWGNNDYEVRQHKLYSIFKAHGVITLRNESVPFSYNGHTIAIAGVDDIRMEMDHYEEAIKELDESQLNILVCHNPEIHEQINEDDGIDVILSGHTHGGQIRFGKFGPYELGKTGIVKNAAYLISNGYGTTKVPLRLGAEPETHIVTLCGPE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inlineStr">
        <is>
          <t>BsMPPE</t>
        </is>
      </c>
      <c r="Z304" s="5" t="inlineStr">
        <is>
          <t>NP_390179.1</t>
        </is>
      </c>
      <c r="AA304" s="5" t="inlineStr">
        <is>
          <t>Direct</t>
        </is>
      </c>
      <c r="AB304" s="5" t="n">
        <v>497</v>
      </c>
      <c r="AC304" s="5" t="inlineStr">
        <is>
          <t>10.1016/j.jhazmat.2025.138330</t>
        </is>
      </c>
      <c r="AD304" s="5" t="inlineStr">
        <is>
          <t>MKLSVKIAGVLTVAAAAMTAKMYATAKGNHLKTHTFPLSKMKGKPPLTIFFISDIHKRLIDQDLLEKARSHAPHLVIIGGDLAEGGVPSARIEENIKRLVHFGVPIVFVWGNNDYEVRQHKLYSIFKAHGVITLRNESVPFSYNGHTIAIAGVDDIRMEMDHYEEAIKELDESQLNILVCHNPEIHEQINEDDGIDVILSGHTHGGQIRFGKFGPYELGKTGIVKNAAYLISNGYGTTKVPLRLGAEPETHIVTLCGPE</t>
        </is>
      </c>
      <c r="AE304" s="5" t="inlineStr">
        <is>
          <t>Bacillus subtilis</t>
        </is>
      </c>
      <c r="AF304" s="5" t="n">
        <v>1423</v>
      </c>
      <c r="AG304" s="5" t="inlineStr">
        <is>
          <t>supp_unavailable</t>
        </is>
      </c>
      <c r="AH304" s="5" t="inlineStr">
        <is>
          <t>ncbi</t>
        </is>
      </c>
      <c r="AI304" s="5" t="n"/>
      <c r="AJ304" s="5" t="n"/>
      <c r="AK304" s="5" t="n"/>
      <c r="AL304" s="5" t="n">
        <v>1</v>
      </c>
    </row>
    <row r="305" ht="15" customHeight="1" s="12">
      <c r="A305" s="5" t="inlineStr">
        <is>
          <t>retrieving_only</t>
        </is>
      </c>
      <c r="B305" s="5" t="inlineStr">
        <is>
          <t>MSVLTSPPTSSGSGEKTRRLGWRSKTAGVVVAALALTTGVVAPAPAAANPYERGPAPTTSSIEASRGSFATSTTTVSRLAVSGFGGGTIYYPTSTASGTFGAVSIAPGFTATQSSMAWLGPRLASQGFVVFTIDTITTSDQPDSRGRQLLSSLDYLTQQSSVRSRIDSSRLGVVGHSMGGGGTLEAARSRPSLQAAVPLTGWNLTKSWSTVRVPTLVVGAQADTVAPVASHSIPFYTSLPSSLDKAYLELRGASHFAPNSANTTIAKYTLSWLKRFIDDDTRYEQFLCPIPGTSTTISDYRGNCPHAG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inlineStr">
        <is>
          <t>ESM140</t>
        </is>
      </c>
      <c r="Z305" s="5" t="inlineStr">
        <is>
          <t>WP_247056560.1</t>
        </is>
      </c>
      <c r="AA305" s="5" t="inlineStr">
        <is>
          <t>Direct</t>
        </is>
      </c>
      <c r="AB305" s="5" t="n">
        <v>442</v>
      </c>
      <c r="AC305" s="5" t="inlineStr">
        <is>
          <t>10.1021/acscatal.5c03460</t>
        </is>
      </c>
      <c r="AD305" s="5" t="inlineStr">
        <is>
          <t>MSVLTSPPTSSGSGEKTRRLGWRSKTAGVVVAALALTTGVVAPAPAAANPYERGPAPTTSSIEASRGSFATSTTTVSRLAVSGFGGGTIYYPTSTASGTFGAVSIAPGFTATQSSMAWLGPRLASQGFVVFTIDTITTSDQPDSRGRQLLSSLDYLTQQSSVRSRIDSSRLGVVGHSMGGGGTLEAARSRPSLQAAVPLTGWNLTKSWSTVRVPTLVVGAQADTVAPVASHSIPFYTSLPSSLDKAYLELRGASHFAPNSANTTIAKYTLSWLKRFIDDDTRYEQFLCPIPGTSTTISDYRGNCPHAG</t>
        </is>
      </c>
      <c r="AE305" s="5" t="inlineStr">
        <is>
          <t>Amycolatopsis sp. WQ 127309</t>
        </is>
      </c>
      <c r="AF305" s="5" t="n">
        <v>2932773</v>
      </c>
      <c r="AG305" s="5" t="inlineStr">
        <is>
          <t>seq_in_supp</t>
        </is>
      </c>
      <c r="AH305" s="5" t="inlineStr">
        <is>
          <t>ncbi</t>
        </is>
      </c>
      <c r="AI305" s="5" t="n"/>
      <c r="AJ305" s="5" t="n"/>
      <c r="AK305" s="5" t="n"/>
      <c r="AL305" s="5" t="n">
        <v>1</v>
      </c>
    </row>
    <row r="306" ht="15" customHeight="1" s="12">
      <c r="A306" s="5" t="inlineStr">
        <is>
          <t>retrieving_only</t>
        </is>
      </c>
      <c r="B306" s="5" t="inlineStr">
        <is>
          <t>MHPSVTDVPVSEDTRATRTRRRWTDRTVRLRAAVVAAVTGLITALVAIQPASARPASAQDNPYERGPAPTVSSVAAQRGTFATAELTVPPGNGFNGGKIYYPTDTSLGTWGAVAAVPGYTAKWAAEGAWMGPWLASFGFVVIGIDTNSPNDYDTARGTQLLAALDYLTQKSAVRDRVDPNRLGVIGHSMGGGGAISAAVRRPSLKAALPLAPFSPSQNLSTLRVPTVIMGARDDGTVTPSYLDGLYGGMPAGTQSAFIELSSGGHGFPTWGNSNVTRRMIPWLKIFLDNDTRYTQFLCPSLADTSGVSRSKLKCPYVPPGGTTPPPPSGGPIVGAASGRCLEVPNSSQTNGTQVQLWDCLDRAGQKWTRTAAGELRVYGTKCLDAEASGTSPGTRVVIWDCHGGQNQQWNVNSNGTITSARSGLCLDAYNAGTGNGTQGVLWNCNGGANQRWALG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inlineStr">
        <is>
          <t>TEP024</t>
        </is>
      </c>
      <c r="Z306" s="5" t="inlineStr">
        <is>
          <t>WP_264933993.1</t>
        </is>
      </c>
      <c r="AA306" s="5" t="inlineStr">
        <is>
          <t>Direct</t>
        </is>
      </c>
      <c r="AB306" s="5" t="n">
        <v>455</v>
      </c>
      <c r="AC306" s="5" t="inlineStr">
        <is>
          <t>10.1021/acscatal.5c03460</t>
        </is>
      </c>
      <c r="AD306" s="5" t="inlineStr">
        <is>
          <t>MHPSVTDVPVSEDTRATRTRRRWTDRTVRLRAAVVAAVTGLITALVAIQPASARPASAQDNPYERGPAPTVSSVAAQRGTFATAELTVPPGNGFNGGKIYYPTDTSLGTWGAVAAVPGYTAKWAAEGAWMGPWLASFGFVVIGIDTNSPNDYDTARGTQLLAALDYLTQKSAVRDRVDPNRLGVIGHSMGGGGAISAAVRRPSLKAALPLAPFSPSQNLSTLRVPTVIMGARDDGTVTPSYLDGLYGGMPAGTQSAFIELSSGGHGFPTWGNSNVTRRMIPWLKIFLDNDTRYTQFLCPSLADTSGVSRSKLKCPYVPPGGTTPPPPSGGPIVGAASGRCLEVPNSSQTNGTQVQLWDCLDRAGQKWTRTAAGELRVYGTKCLDAEASGTSPGTRVVIWDCHGGQNQQWNVNSNGTITSARSGLCLDAYNAGTGNGTQGVLWNCNGGANQRWALG</t>
        </is>
      </c>
      <c r="AE306" s="5" t="inlineStr">
        <is>
          <t>Streptomyces sp. A012304</t>
        </is>
      </c>
      <c r="AF306" s="5" t="n">
        <v>375446</v>
      </c>
      <c r="AG306" s="5" t="inlineStr">
        <is>
          <t>seq_in_supp</t>
        </is>
      </c>
      <c r="AH306" s="5" t="inlineStr">
        <is>
          <t>ncbi</t>
        </is>
      </c>
      <c r="AI306" s="5" t="n"/>
      <c r="AJ306" s="5" t="n"/>
      <c r="AK306" s="5" t="n"/>
      <c r="AL306" s="5" t="n">
        <v>1</v>
      </c>
    </row>
    <row r="307" ht="15" customHeight="1" s="12">
      <c r="A307" s="5" t="inlineStr">
        <is>
          <t>retrieving_only</t>
        </is>
      </c>
      <c r="B307" s="5" t="inlineStr">
        <is>
          <t>MFRKMFTVKCIAKAIFLSSLTLEAFAFGNNGGGGGGEDNVFAEPGDFDVVTEPGGRDCTIFRPEQLGDDHAVVIWGNGTGASPNTYAGLLRHYASHGFVVVAANTSNAGTGEDMLNCLDFLEGSQLASSVDFSKVGATGHSQGGGGAIMAGVDPRIATTAPIEGFTLGLGHDRDSHDQQNGPMLILSGSADRLVNPRTNHAPLFDATNVPAFWAIAQGAGHFEPVGDGGDFRGISTAWFLFQLEDDPEATTHFVGDDCFVCEDPGFDVEGVKEID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inlineStr">
        <is>
          <t>APET-28</t>
        </is>
      </c>
      <c r="Z307" s="5" t="inlineStr">
        <is>
          <t>MBX2857432.1</t>
        </is>
      </c>
      <c r="AA307" s="5" t="inlineStr">
        <is>
          <t>Direct</t>
        </is>
      </c>
      <c r="AB307" s="5" t="n">
        <v>267</v>
      </c>
      <c r="AC307" s="5" t="inlineStr">
        <is>
          <t>10.1038/s41467-025-61599-z</t>
        </is>
      </c>
      <c r="AD307" s="5" t="inlineStr">
        <is>
          <t>MFRKMFTVKCIAKAIFLSSLTLEAFAFGNNGGGGGGEDNVFAEPGDFDVVTEPGGRDCTIFRPEQLGDDHAVVIWGNGTGASPNTYAGLLRHYASHGFVVVAANTSNAGTGEDMLNCLDFLEGSQLASSVDFSKVGATGHSQGGGGAIMAGVDPRIATTAPIEGFTLGLGHDRDSHDQQNGPMLILSGSADRLVNPRTNHAPLFDATNVPAFWAIAQGAGHFEPVGDGGDFRGISTAWFLFQLEDDPEATTHFVGDDCFVCEDPGFDVEGVKEID</t>
        </is>
      </c>
      <c r="AE307" s="5" t="inlineStr">
        <is>
          <t>Cellvibrionaceae bacterium</t>
        </is>
      </c>
      <c r="AF307" s="5" t="n">
        <v>2026723</v>
      </c>
      <c r="AG307" s="5" t="inlineStr">
        <is>
          <t>supp_unavailable</t>
        </is>
      </c>
      <c r="AH307" s="5" t="inlineStr">
        <is>
          <t>ncbi</t>
        </is>
      </c>
      <c r="AI307" s="5" t="n"/>
      <c r="AJ307" s="5" t="n"/>
      <c r="AK307" s="5" t="n"/>
      <c r="AL307" s="5" t="n">
        <v>1</v>
      </c>
    </row>
    <row r="308" ht="15" customHeight="1" s="12">
      <c r="A308" s="5" t="inlineStr">
        <is>
          <t>retrieving_only</t>
        </is>
      </c>
      <c r="B308" s="5" t="inlineStr">
        <is>
          <t>MTARTTRRPLAAVILGLALTLTGSLPAQAADQRGPDPTVQSIEAARGPFATSTSRVSSLVSGFGGGTIYYPTDTSQGRFGGVVIAPGYTAGESSIAWLGPRLASQGFVVFTIDTLTRVDQPASRGRQLLAAADYLTQRSDVADRVDPARLAVMGHSMGGGGTLEAAKSRPGLKAIIPLTPWNLDKTWPEITTPTLIFGAQADSVASVVTHARPFYQTLPATTPRSYLELRGASHFAPNLSNTTIAKYSIAWLKRFVDDDQRYTQFLCPAPADTALSDVRTSCPF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inlineStr">
        <is>
          <t>TEP091</t>
        </is>
      </c>
      <c r="Z308" s="5" t="inlineStr">
        <is>
          <t>MBO9569276.1</t>
        </is>
      </c>
      <c r="AA308" s="5" t="inlineStr">
        <is>
          <t>Direct</t>
        </is>
      </c>
      <c r="AB308" s="5" t="n">
        <v>462</v>
      </c>
      <c r="AC308" s="5" t="inlineStr">
        <is>
          <t>10.1021/acscatal.5c03460</t>
        </is>
      </c>
      <c r="AD308" s="5" t="inlineStr">
        <is>
          <t>MTARTTRRPLAAVILGLALTLTGSLPAQAADQRGPDPTVQSIEAARGPFATSTSRVSSLVSGFGGGTIYYPTDTSQGRFGGVVIAPGYTAGESSIAWLGPRLASQGFVVFTIDTLTRVDQPASRGRQLLAAADYLTQRSDVADRVDPARLAVMGHSMGGGGTLEAAKSRPGLKAIIPLTPWNLDKTWPEITTPTLIFGAQADSVASVVTHARPFYQTLPATTPRSYLELRGASHFAPNLSNTTIAKYSIAWLKRFVDDDQRYTQFLCPAPADTALSDVRTSCPF</t>
        </is>
      </c>
      <c r="AE308" s="5" t="inlineStr">
        <is>
          <t>Cellulomonas iranensis</t>
        </is>
      </c>
      <c r="AF308" s="5" t="n">
        <v>76862</v>
      </c>
      <c r="AG308" s="5" t="inlineStr">
        <is>
          <t>acc_in_supp</t>
        </is>
      </c>
      <c r="AH308" s="5" t="inlineStr">
        <is>
          <t>ncbi</t>
        </is>
      </c>
      <c r="AI308" s="5" t="n"/>
      <c r="AJ308" s="5" t="n"/>
      <c r="AK308" s="5" t="n"/>
      <c r="AL308" s="5" t="n">
        <v>1</v>
      </c>
    </row>
    <row r="309" ht="15" customHeight="1" s="12">
      <c r="A309" s="5" t="inlineStr">
        <is>
          <t>retrieving_only</t>
        </is>
      </c>
      <c r="B309" s="5" t="inlineStr">
        <is>
          <t>MFTAYPGDITKVHGIRVGQVENENARTGVTVVLAPSQGAVAGVSVRGAAPGTRETDALRPGNLVDVAHAVVLAGGSAFGLAAADGVMRFLRQNNVGLDMGVARVPIVPAAVLFDLAVGDAHITPDAAMGRAACMSAGKGVQQGRCGAGAGATVGKLVQAAIPQPCGIGSASMTLSEGVTVGAVVAVNAMGDVYHPETGECIACAHMPDGTAVPASGLLYGHAPAPQQIRIPAPGSNTTIGVIAVDCVLDKAQANRLADVAHDGYARTIRPVHTQMDGDTVFALATGRLSADVNFVKLCAAAAEVMARAVSNAVFYSQP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inlineStr">
        <is>
          <t>Nyl65</t>
        </is>
      </c>
      <c r="Z309" s="5" t="inlineStr">
        <is>
          <t>A0A7C6SQZ1</t>
        </is>
      </c>
      <c r="AA309" s="5" t="inlineStr">
        <is>
          <t>Direct</t>
        </is>
      </c>
      <c r="AB309" s="5" t="n">
        <v>368</v>
      </c>
      <c r="AC309" s="5" t="inlineStr">
        <is>
          <t>10.1016/j.checat.2025.101418</t>
        </is>
      </c>
      <c r="AD309" s="5" t="inlineStr">
        <is>
          <t>MFTAYPGDITKVHGIRVGQVENENARTGVTVVLAPSQGAVAGVSVRGAAPGTRETDALRPGNLVDVAHAVVLAGGSAFGLAAADGVMRFLRQNNVGLDMGVARVPIVPAAVLFDLAVGDAHITPDAAMGRAACMSAGKGVQQGRCGAGAGATVGKLVQAAIPQPCGIGSASMTLSEGVTVGAVVAVNAMGDVYHPETGECIACAHMPDGTAVPASGLLYGHAPAPQQIRIPAPGSNTTIGVIAVDCVLDKAQANRLADVAHDGYARTIRPVHTQMDGDTVFALATGRLSADVNFVKLCAAAAEVMARAVSNAVFYSQP</t>
        </is>
      </c>
      <c r="AE309" s="5" t="inlineStr">
        <is>
          <t>Clostridiales bacterium</t>
        </is>
      </c>
      <c r="AF309" s="5" t="n">
        <v>1898207</v>
      </c>
      <c r="AG309" s="5" t="inlineStr">
        <is>
          <t>supp_unavailable</t>
        </is>
      </c>
      <c r="AH309" s="5" t="inlineStr">
        <is>
          <t>uniparc</t>
        </is>
      </c>
      <c r="AI309" s="5" t="n"/>
      <c r="AJ309" s="5" t="n"/>
      <c r="AK309" s="5" t="n"/>
      <c r="AL309" s="5" t="n">
        <v>1</v>
      </c>
    </row>
    <row r="310" ht="15" customHeight="1" s="12">
      <c r="A310" s="5" t="inlineStr">
        <is>
          <t>retrieving_only</t>
        </is>
      </c>
      <c r="B310" s="5" t="inlineStr">
        <is>
          <t>MFTIAVATGSASAADNPYQRGPDPTRASVASENGPFANTSVAVPTGYGFNGGRIYYPTDTSQGTFGAIAISPGYTALFSVELAWMGPWLASHGFVVIGIETNSRNDFDTARGTQLLAALDYLTQQSPVRDRVDASRLAVAGHSMGGGGALSAAMRRSSLKAAVGIAPYSPSSNLATDRVPTMVFSGQADTVVTPSYATGLYNSLPTTTESAYLEVAGADHGFMVGRSNPVLIRTMLPFLKIFIDNDARYSQFLCPLLDSSGVVTYRSTCPLLPTPPTSPTATPTTTPTTPPPTSPPGAASQIVGAQSGRCVDVPNASRANGTRVQLYDCNRQSNQSWTYTSTKQLRVYGDMCLDAAGSGNGAAVQIYGCHSQTNQQWNVNSNGTISSVQSGRCLDVWSTANGAQIQLYDCHGQTNQRFSLTPLA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inlineStr">
        <is>
          <t>TEP111</t>
        </is>
      </c>
      <c r="Z310" s="5" t="inlineStr">
        <is>
          <t>WP_260422593.1</t>
        </is>
      </c>
      <c r="AA310" s="5" t="inlineStr">
        <is>
          <t>Direct</t>
        </is>
      </c>
      <c r="AB310" s="5" t="n">
        <v>470</v>
      </c>
      <c r="AC310" s="5" t="inlineStr">
        <is>
          <t>10.1021/acscatal.5c03460</t>
        </is>
      </c>
      <c r="AD310" s="5" t="inlineStr">
        <is>
          <t>MFTIAVATGSASAADNPYQRGPDPTRASVASENGPFANTSVAVPTGYGFNGGRIYYPTDTSQGTFGAIAISPGYTALFSVELAWMGPWLASHGFVVIGIETNSRNDFDTARGTQLLAALDYLTQQSPVRDRVDASRLAVAGHSMGGGGALSAAMRRSSLKAAVGIAPYSPSSNLATDRVPTMVFSGQADTVVTPSYATGLYNSLPTTTESAYLEVAGADHGFMVGRSNPVLIRTMLPFLKIFIDNDARYSQFLCPLLDSSGVVTYRSTCPLLPTPPTSPTATPTTTPTTPPPTSPPGAASQIVGAQSGRCVDVPNASRANGTRVQLYDCNRQSNQSWTYTSTKQLRVYGDMCLDAAGSGNGAAVQIYGCHSQTNQQWNVNSNGTISSVQSGRCLDVWSTANGAQIQLYDCHGQTNQRFSLTPLA</t>
        </is>
      </c>
      <c r="AE310" s="5" t="inlineStr">
        <is>
          <t>Micromonospora carbonacea</t>
        </is>
      </c>
      <c r="AF310" s="5" t="n">
        <v>47853</v>
      </c>
      <c r="AG310" s="5" t="inlineStr">
        <is>
          <t>acc_in_supp</t>
        </is>
      </c>
      <c r="AH310" s="5" t="inlineStr">
        <is>
          <t>ncbi</t>
        </is>
      </c>
      <c r="AI310" s="5" t="n"/>
      <c r="AJ310" s="5" t="n"/>
      <c r="AK310" s="5" t="n"/>
      <c r="AL310" s="5" t="n">
        <v>1</v>
      </c>
    </row>
    <row r="311" ht="15" customHeight="1" s="12">
      <c r="A311" s="5" t="inlineStr">
        <is>
          <t>retrieving_only</t>
        </is>
      </c>
      <c r="B311" s="5" t="inlineStr">
        <is>
          <t>MFTVTVATGSASAADNPYQRGPDPTRASVAAVNGPFANTSVSVPTGYGFNGGRIYYPTDTSQGTFGAIAISPGYTALFSAELAWMGPWLASHGFVVIGIETNSRNDFDTARGTQLLAALDYLTQQSPVRDRVDPNRLAVSGHSMGGGGALSAAIRRSSLKAAVGITPYSPSQNLANDRVPTMVISGQADTVVTPSYALNLYNSLPASTESVYLEVAGGDHGFMVGRSNPVLIRTMLPFLKMFVDNDSRYSQFLCPLLDSSGVVTYRSTCPLLPTDPTTPPTGTPTPTPTTPPTPTPTPTTPPPSGSANEIIGTQSGRCVDVPNASRNNGTRVQLYDCNKQTNQSWTYTTNKQLRVYDNMCLDAAGSGNGAAVQIYTCHSGTNQQWNVNSNGTITGVQSGRCLDVWSSNNGAQIQLYDCHGQPNQQFRLAALA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inlineStr">
        <is>
          <t>TEP010</t>
        </is>
      </c>
      <c r="Z311" s="5" t="inlineStr">
        <is>
          <t>WP_164449727.1</t>
        </is>
      </c>
      <c r="AA311" s="5" t="inlineStr">
        <is>
          <t>Direct</t>
        </is>
      </c>
      <c r="AB311" s="5" t="n">
        <v>453</v>
      </c>
      <c r="AC311" s="5" t="inlineStr">
        <is>
          <t>10.1021/acscatal.5c03460</t>
        </is>
      </c>
      <c r="AD311" s="5" t="inlineStr">
        <is>
          <t>MFTVTVATGSASAADNPYQRGPDPTRASVAAVNGPFANTSVSVPTGYGFNGGRIYYPTDTSQGTFGAIAISPGYTALFSAELAWMGPWLASHGFVVIGIETNSRNDFDTARGTQLLAALDYLTQQSPVRDRVDPNRLAVSGHSMGGGGALSAAIRRSSLKAAVGITPYSPSQNLANDRVPTMVISGQADTVVTPSYALNLYNSLPASTESVYLEVAGGDHGFMVGRSNPVLIRTMLPFLKMFVDNDSRYSQFLCPLLDSSGVVTYRSTCPLLPTDPTTPPTGTPTPTPTTPPTPTPTPTTPPPSGSANEIIGTQSGRCVDVPNASRNNGTRVQLYDCNKQTNQSWTYTTNKQLRVYDNMCLDAAGSGNGAAVQIYTCHSGTNQQWNVNSNGTITGVQSGRCLDVWSSNNGAQIQLYDCHGQPNQQFRLAALA</t>
        </is>
      </c>
      <c r="AE311" s="5" t="inlineStr">
        <is>
          <t>Verrucosispora sioxanthis</t>
        </is>
      </c>
      <c r="AF311" s="5" t="n">
        <v>2499994</v>
      </c>
      <c r="AG311" s="5" t="inlineStr">
        <is>
          <t>acc_in_supp</t>
        </is>
      </c>
      <c r="AH311" s="5" t="inlineStr">
        <is>
          <t>ncbi</t>
        </is>
      </c>
      <c r="AI311" s="5" t="n"/>
      <c r="AJ311" s="5" t="n"/>
      <c r="AK311" s="5" t="n"/>
      <c r="AL311" s="5" t="n">
        <v>1</v>
      </c>
    </row>
    <row r="312" ht="15" customHeight="1" s="12">
      <c r="A312" s="5" t="inlineStr">
        <is>
          <t>retrieving_only</t>
        </is>
      </c>
      <c r="B312" s="5" t="inlineStr">
        <is>
          <t>MGCMGDVPGLKVGHAQDLSGITGVTVILAEDGAVGGVSVLGGAPGTRETDLLRPSYTVDVVHAIFLAGGSAFGLDCARGIVQYLEERGVGLSVPPARIPLVAGAIIFDLDIGDSRARPTPEMAYAAASGARATDCARGSVGAGTGATVGKLFGRDFAMKGGLGVASGEIEGFKVAALVVVNAAGDIYHPESGQILAGAYDRKERRFLAGGFRAGAAGGGEKELFGFGFGLGTHFGGNTTIGVVGVDAALTKEEVSRLALMAQAGLARAIRPVFTPYDGDTMFALATGKSSRRMPDQRGERSRLLAAIGGLGQELASRAVVDAVVHADGLGRVPSAKEILAGG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inlineStr">
        <is>
          <t>Nyl66</t>
        </is>
      </c>
      <c r="Z312" s="5" t="inlineStr">
        <is>
          <t>A0A7C7DKE8</t>
        </is>
      </c>
      <c r="AA312" s="5" t="inlineStr">
        <is>
          <t>Direct</t>
        </is>
      </c>
      <c r="AB312" s="5" t="n">
        <v>369</v>
      </c>
      <c r="AC312" s="5" t="inlineStr">
        <is>
          <t>10.1016/j.checat.2025.101418</t>
        </is>
      </c>
      <c r="AD312" s="5" t="inlineStr">
        <is>
          <t>MGCMGDVPGLKVGHAQDLSGITGVTVILAEDGAVGGVSVLGGAPGTRETDLLRPSYTVDVVHAIFLAGGSAFGLDCARGIVQYLEERGVGLSVPPARIPLVAGAIIFDLDIGDSRARPTPEMAYAAASGARATDCARGSVGAGTGATVGKLFGRDFAMKGGLGVASGEIEGFKVAALVVVNAAGDIYHPESGQILAGAYDRKERRFLAGGFRAGAAGGGEKELFGFGFGLGTHFGGNTTIGVVGVDAALTKEEVSRLALMAQAGLARAIRPVFTPYDGDTMFALATGKSSRRMPDQRGERSRLLAAIGGLGQELASRAVVDAVVHADGLGRVPSAKEILAGG</t>
        </is>
      </c>
      <c r="AE312" s="5" t="inlineStr">
        <is>
          <t>Candidatus Fermentithermobacillaceae bacterium</t>
        </is>
      </c>
      <c r="AF312" s="5" t="n">
        <v>3085339</v>
      </c>
      <c r="AG312" s="5" t="inlineStr">
        <is>
          <t>supp_unavailable</t>
        </is>
      </c>
      <c r="AH312" s="5" t="inlineStr">
        <is>
          <t>uniparc</t>
        </is>
      </c>
      <c r="AI312" s="5" t="n"/>
      <c r="AJ312" s="5" t="n"/>
      <c r="AK312" s="5" t="n"/>
      <c r="AL312" s="5" t="n">
        <v>1</v>
      </c>
    </row>
    <row r="313" ht="15" customHeight="1" s="12">
      <c r="A313" s="5" t="inlineStr">
        <is>
          <t>retrieving_only</t>
        </is>
      </c>
      <c r="B313" s="5" t="inlineStr">
        <is>
          <t>MTALIALATTIGLALTLLTVAAPPAAAADLLSQGQPATSSSTENASTPASAAVDGNTGTRWSSTFSDPQWLEVDLGATATISRVVLRWEAAYARAFQIQTSDNGTAWTTIYSTTTSTGGVQTLDVNGSGRYVRFHGTQRGTAYGYSLWEFQVYGSGEGTPPGNGIPDPTTASLEATNGPLTTATYTVPSPTGYGSGTVTYPTNSSSYPGVVLMPGYQGTQQNLQWLAPRLASWGFVVINVGTNTLTDDPESRGRQITAAGTQLLALGNAPGNPISGKLNGTLGAVGHSMGGGGVMAALRDDTRFRAGVPTAPYYPNANFSAVTEPTFFLTCQSDPVAHGNSYAVPWYNSMPQAEKLYIEVPGDHLCPMTGSGNKAKQGKWIVSFLSLWLRADTRFSPFLCGPVRDADKSNTSLVTRWMDTCPY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>
        <v>1876</v>
      </c>
      <c r="Z313" s="5" t="inlineStr">
        <is>
          <t>WP_067035690.1</t>
        </is>
      </c>
      <c r="AA313" s="5" t="inlineStr">
        <is>
          <t>Direct</t>
        </is>
      </c>
      <c r="AB313" s="5" t="n">
        <v>334</v>
      </c>
      <c r="AC313" s="5" t="inlineStr">
        <is>
          <t>10.1126/science.adp5637</t>
        </is>
      </c>
      <c r="AD313" s="5" t="inlineStr">
        <is>
          <t>MTALIALATTIGLALTLLTVAAPPAAAADLLSQGQPATSSSTENASTPASAAVDGNTGTRWSSTFSDPQWLEVDLGATATISRVVLRWEAAYARAFQIQTSDNGTAWTTIYSTTTSTGGVQTLDVNGSGRYVRFHGTQRGTAYGYSLWEFQVYGSGEGTPPGNGIPDPTTASLEATNGPLTTATYTVPSPTGYGSGTVTYPTNSSSYPGVVLMPGYQGTQQNLQWLAPRLASWGFVVINVGTNTLTDDPESRGRQITAAGTQLLALGNAPGNPISGKLNGTLGAVGHSMGGGGVMAALRDDTRFRAGVPTAPYYPNANFSAVTEPTFFLTCQSDPVAHGNSYAVPWYNSMPQAEKLYIEVPGDHLCPMTGSGNKAKQGKWIVSFLSLWLRADTRFSPFLCGPVRDADKSNTSLVTRWMDTCPY</t>
        </is>
      </c>
      <c r="AE313" s="5" t="inlineStr">
        <is>
          <t>Streptomyces dysideae</t>
        </is>
      </c>
      <c r="AF313" s="5" t="n">
        <v>909626</v>
      </c>
      <c r="AG313" s="5" t="inlineStr">
        <is>
          <t>supp_unavailable</t>
        </is>
      </c>
      <c r="AH313" s="5" t="inlineStr">
        <is>
          <t>ncbi</t>
        </is>
      </c>
      <c r="AI313" s="5" t="n"/>
      <c r="AJ313" s="5" t="n"/>
      <c r="AK313" s="5" t="n"/>
      <c r="AL313" s="5" t="n">
        <v>1</v>
      </c>
    </row>
    <row r="314" ht="15" customHeight="1" s="12">
      <c r="A314" s="5" t="inlineStr">
        <is>
          <t>retrieving_only</t>
        </is>
      </c>
      <c r="B314" s="5" t="inlineStr">
        <is>
          <t>MGEVSRRNMLKAGGALGALGALGIATPAQARTPWTWSASGSVAGTGAGIDPRWVWDEEADPLVASLIDRGDVPKVNPLLRTWTKNGQPLPAGLPADLRDFMERARQMPSWVDGGKLATAVQFNNKRGLYLGVLYGFASGMISTAIPKEARAVYYSQGGADMKDRVSKTAKLGYDIGTANAYDADGEMIVTCVKTRLVHAAVRHLLPKSPYWQKSADEEIPISQADMMVTWHSLPTTVMKTLQAWKVPLPVDESEAFLHSWQVAGHMLGIKDEYIPSSWSEANSQAKQVLDPVLAPTPEGIKLADILLNLGSGIDGSLITKDILAAFTRFLLGDKIGDWMKIPKEPFWGGVLNTFWGPFIAVREGLLKVFPGTQSTYWLFEELLRQVLLVYLSEARKINIEIPLSNNPNY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inlineStr">
        <is>
          <t>Lcp2</t>
        </is>
      </c>
      <c r="Z314" s="5" t="inlineStr">
        <is>
          <t>UFE15761.1</t>
        </is>
      </c>
      <c r="AA314" s="5" t="inlineStr">
        <is>
          <t>Indirect</t>
        </is>
      </c>
      <c r="AB314" s="5" t="n">
        <v>130</v>
      </c>
      <c r="AC314" s="5" t="inlineStr">
        <is>
          <t>10.3389/fmicb.2022.854427</t>
        </is>
      </c>
      <c r="AD314" s="5" t="inlineStr">
        <is>
          <t>MGEVSRRNMLKAGGALGALGALGIATPAQARTPWTWSASGSVAGTGAGIDPRWVWDEEADPLVASLIDRGDVPKVNPLLRTWTKNGQPLPAGLPADLRDFMERARQMPSWVDGGKLATAVQFNNKRGLYLGVLYGFASGMISTAIPKEARAVYYSQGGADMKDRVSKTAKLGYDIGTANAYDADGEMIVTCVKTRLVHAAVRHLLPKSPYWQKSADEEIPISQADMMVTWHSLPTTVMKTLQAWKVPLPVDESEAFLHSWQVAGHMLGIKDEYIPSSWSEANSQAKQVLDPVLAPTPEGIKLADILLNLGSGIDGSLITKDILAAFTRFLLGDKIGDWMKIPKEPFWGGVLNTFWGPFIAVREGLLKVFPGTQSTYWLFEELLRQVLLVYLSEARKINIEIPLSNNPNY</t>
        </is>
      </c>
      <c r="AE314" s="5" t="inlineStr">
        <is>
          <t>Microtetraspora sp. AC03309</t>
        </is>
      </c>
      <c r="AF314" s="5" t="n">
        <v>2779376</v>
      </c>
      <c r="AG314" s="5" t="inlineStr">
        <is>
          <t>supp_unavailable</t>
        </is>
      </c>
      <c r="AH314" s="5" t="inlineStr">
        <is>
          <t>ncbi</t>
        </is>
      </c>
      <c r="AI314" s="5" t="n"/>
      <c r="AJ314" s="5" t="n"/>
      <c r="AK314" s="5" t="n"/>
      <c r="AL314" s="5" t="n">
        <v>1</v>
      </c>
    </row>
    <row r="315" ht="15" customHeight="1" s="12">
      <c r="A315" s="5" t="inlineStr">
        <is>
          <t>retrieving_only</t>
        </is>
      </c>
      <c r="B315" s="5" t="inlineStr">
        <is>
          <t>MGGGVAAVATPALADEIGQAPTASNITGNGSFATTSESISSLVSGFGGGRVYYPTATGRYPVIAISPGFTATWSSLAWIGPRLSSWGFVVVGIETNSIYDQPGSRGNQLLAALNWAVNSSSTAVRSRVDGSRRGVAGHSMGGGGTLEALAADTSGLVKAGVPLAPWNTDKIWSNVSEPVLIVGGQADTIAPVATHSVPFYNTLAGPKTYVELTGASHFFPQTTNATTSRALVSWFKRWLNQDSRFTPYTCGFGGLAVSDFRSNAC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>
        <v>1463</v>
      </c>
      <c r="Z315" s="5" t="inlineStr">
        <is>
          <t>WP_081971423.1</t>
        </is>
      </c>
      <c r="AA315" s="5" t="inlineStr">
        <is>
          <t>Direct</t>
        </is>
      </c>
      <c r="AB315" s="5" t="n">
        <v>302</v>
      </c>
      <c r="AC315" s="5" t="inlineStr">
        <is>
          <t>10.1126/science.adp5637</t>
        </is>
      </c>
      <c r="AD315" s="5" t="inlineStr">
        <is>
          <t>MGGGVAAVATPALADEIGQAPTASNITGNGSFATTSESISSLVSGFGGGRVYYPTATGRYPVIAISPGFTATWSSLAWIGPRLSSWGFVVVGIETNSIYDQPGSRGNQLLAALNWAVNSSSTAVRSRVDGSRRGVAGHSMGGGGTLEALAADTSGLVKAGVPLAPWNTDKIWSNVSEPVLIVGGQADTIAPVATHSVPFYNTLAGPKTYVELTGASHFFPQTTNATTSRALVSWFKRWLNQDSRFTPYTCGFGGLAVSDFRSNAC</t>
        </is>
      </c>
      <c r="AE315" s="5" t="inlineStr">
        <is>
          <t>Dactylosporangium aurantiacum</t>
        </is>
      </c>
      <c r="AF315" s="5" t="n">
        <v>35754</v>
      </c>
      <c r="AG315" s="5" t="inlineStr">
        <is>
          <t>supp_unavailable</t>
        </is>
      </c>
      <c r="AH315" s="5" t="inlineStr">
        <is>
          <t>ncbi</t>
        </is>
      </c>
      <c r="AI315" s="5" t="n"/>
      <c r="AJ315" s="5" t="n"/>
      <c r="AK315" s="5" t="n"/>
      <c r="AL315" s="5" t="n">
        <v>1</v>
      </c>
    </row>
    <row r="316" ht="15" customHeight="1" s="12">
      <c r="A316" s="5" t="inlineStr">
        <is>
          <t>retrieving_only</t>
        </is>
      </c>
      <c r="B316" s="5" t="inlineStr">
        <is>
          <t>MTALGTAPTPTRRPRRLARFGAPLAVALAVVAGVTTANAAPAAQAADNPYQRGPNPTASSIEASTGSFAIASTTVSRVAVSGFGGGTIYYPTSTAEGTFGAVAISPGFTALQSSIQWLGPRLASQGFVVFTIDTLTTYDQPDSRGRQLLAALDYLTTSSSVRSRIDSGRLGVIGHSMGGGGTLEAARSRPTLQAAVPLTGWNLTTNWSSLRVPTLVVGAQSDTIAPVAQHSIPFYNSLPTSLDRAYLELRGASHFAPNTANTTIAKYTLSWLKRFIDDDTRYEQFLCPLPSTNLSISAFRGNCPHLG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inlineStr">
        <is>
          <t>PC5</t>
        </is>
      </c>
      <c r="Z316" s="5" t="inlineStr">
        <is>
          <t>WP_075975245.1</t>
        </is>
      </c>
      <c r="AA316" s="5" t="inlineStr">
        <is>
          <t>Direct</t>
        </is>
      </c>
      <c r="AB316" s="5" t="n">
        <v>339</v>
      </c>
      <c r="AC316" s="5" t="inlineStr">
        <is>
          <t>10.1038/s41467-023-40233-w</t>
        </is>
      </c>
      <c r="AD316" s="5" t="inlineStr">
        <is>
          <t>MTALGTAPTPTRRPRRLARFGAPLAVALAVVAGVTTANAAPAAQAADNPYQRGPNPTASSIEASTGSFAIASTTVSRVAVSGFGGGTIYYPTSTAEGTFGAVAISPGFTALQSSIQWLGPRLASQGFVVFTIDTLTTYDQPDSRGRQLLAALDYLTTSSSVRSRIDSGRLGVIGHSMGGGGTLEAARSRPTLQAAVPLTGWNLTTNWSSLRVPTLVVGAQSDTIAPVAQHSIPFYNSLPTSLDRAYLELRGASHFAPNTANTTIAKYTLSWLKRFIDDDTRYEQFLCPLPSTNLSISAFRGNCPHLG</t>
        </is>
      </c>
      <c r="AE316" s="5" t="inlineStr">
        <is>
          <t>Actinokineospora bangkokensis</t>
        </is>
      </c>
      <c r="AF316" s="5" t="n">
        <v>1193682</v>
      </c>
      <c r="AG316" s="5" t="inlineStr">
        <is>
          <t>supp_unavailable</t>
        </is>
      </c>
      <c r="AH316" s="5" t="inlineStr">
        <is>
          <t>ncbi</t>
        </is>
      </c>
      <c r="AI316" s="5" t="n"/>
      <c r="AJ316" s="5" t="n"/>
      <c r="AK316" s="5" t="n"/>
      <c r="AL316" s="5" t="n">
        <v>1</v>
      </c>
    </row>
    <row r="317" ht="15" customHeight="1" s="12">
      <c r="A317" s="5" t="inlineStr">
        <is>
          <t>retrieving_only</t>
        </is>
      </c>
      <c r="B317" s="5" t="inlineStr">
        <is>
          <t>MKRLWTIGSVAALLCGASVAVALEAAAADNPYQRGPDPTPQSISATTGPFATASVTVPRQGNFGGGVIYYPTDTSQGTFGAVAISPGLNGTWPGIAWLGPRLSSQGFVVFGIDTLGLNDSTASRGSQLLAALDYLTQTSSVRTRVDASRLAVAGHSMGGGGAFEAVLRRPTLKASIPNAPFFPGSAANVRVPTLITAMQNDSLVGQNRNAYNGIPAGVEKAYIELAGAGHNQIGQPTTAIARNWIPWLKIFVDNDARYHQFFCPTTNMSGLSQYLNTCPLTSATPPTSSPSAGPTTPGPTGPPPGGACAATYQTVNTWSGGYQGEMTVRAGNSAINGWTVRWTMGGGQISQVWNGTLVTGSGAAAVRNAPYNGALAAGATTTFGFISSGTPSATSLTCATP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inlineStr">
        <is>
          <t>ESM064</t>
        </is>
      </c>
      <c r="Z317" s="5" t="inlineStr">
        <is>
          <t>WP_281901711.1</t>
        </is>
      </c>
      <c r="AA317" s="5" t="inlineStr">
        <is>
          <t>Direct</t>
        </is>
      </c>
      <c r="AB317" s="5" t="n">
        <v>424</v>
      </c>
      <c r="AC317" s="5" t="inlineStr">
        <is>
          <t>10.1021/acscatal.5c03460</t>
        </is>
      </c>
      <c r="AD317" s="5" t="inlineStr">
        <is>
          <t>MKRLWTIGSVAALLCGASVAVALEAAAADNPYQRGPDPTPQSISATTGPFATASVTVPRQGNFGGGVIYYPTDTSQGTFGAVAISPGLNGTWPGIAWLGPRLSSQGFVVFGIDTLGLNDSTASRGSQLLAALDYLTQTSSVRTRVDASRLAVAGHSMGGGGAFEAVLRRPTLKASIPNAPFFPGSAANVRVPTLITAMQNDSLVGQNRNAYNGIPAGVEKAYIELAGAGHNQIGQPTTAIARNWIPWLKIFVDNDARYHQFFCPTTNMSGLSQYLNTCPLTSATPPTSSPSAGPTTPGPTGPPPGGACAATYQTVNTWSGGYQGEMTVRAGNSAINGWTVRWTMGGGQISQVWNGTLVTGSGAAAVRNAPYNGALAAGATTTFGFISSGTPSATSLTCATP</t>
        </is>
      </c>
      <c r="AE317" s="5" t="inlineStr">
        <is>
          <t>Phytohabitans aurantiacus</t>
        </is>
      </c>
      <c r="AF317" s="5" t="n">
        <v>3016789</v>
      </c>
      <c r="AG317" s="5" t="inlineStr">
        <is>
          <t>seq_in_supp</t>
        </is>
      </c>
      <c r="AH317" s="5" t="inlineStr">
        <is>
          <t>ncbi</t>
        </is>
      </c>
      <c r="AI317" s="5" t="n"/>
      <c r="AJ317" s="5" t="n"/>
      <c r="AK317" s="5" t="n"/>
      <c r="AL317" s="5" t="n">
        <v>1</v>
      </c>
    </row>
    <row r="318" ht="15" customHeight="1" s="12">
      <c r="A318" s="5" t="inlineStr">
        <is>
          <t>retrieving_only</t>
        </is>
      </c>
      <c r="B318" s="5" t="inlineStr">
        <is>
          <t>MGKTGKENYLTDVQGILIGHFTSLESASGVTVVLCPKGATAGVDVRGAAPGTRETDLLAPLNLVEQVQAVVLSGGSVYGLSASDGVVRWLSEQGMGFPLPDRKAVPIVPAAVLFDLGRGKDFVPPVGPEWGRIACENAVSKYNGLGCLGAGTGAVSGAIKGGLGSASEVLASGITVAAIVAVNSLGSVIDSRTGLAWELETEIDDEFGPIARRRVKLPQPEPPAAAANTTIGLIATDAVLTKAQAMKIAQMAHDGLARAIRPCHTMFDGDTIFCVATGIHDLPDTPGFFVAPKAVALNDIGRSAADCMSRAIIRGIVETHSLGTAVALRDLEAF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inlineStr">
        <is>
          <t>Nyl82</t>
        </is>
      </c>
      <c r="Z318" s="5" t="inlineStr">
        <is>
          <t>WP_014810472.1</t>
        </is>
      </c>
      <c r="AA318" s="5" t="inlineStr">
        <is>
          <t>Direct</t>
        </is>
      </c>
      <c r="AB318" s="5" t="n">
        <v>375</v>
      </c>
      <c r="AC318" s="5" t="inlineStr">
        <is>
          <t>10.1016/j.checat.2025.101418</t>
        </is>
      </c>
      <c r="AD318" s="5" t="inlineStr">
        <is>
          <t>MGKTGKENYLTDVQGILIGHFTSLESASGVTVVLCPKGATAGVDVRGAAPGTRETDLLAPLNLVEQVQAVVLSGGSVYGLSASDGVVRWLSEQGMGFPLPDRKAVPIVPAAVLFDLGRGKDFVPPVGPEWGRIACENAVSKYNGLGCLGAGTGAVSGAIKGGLGSASEVLASGITVAAIVAVNSLGSVIDSRTGLAWELETEIDDEFGPIARRRVKLPQPEPPAAAANTTIGLIATDAVLTKAQAMKIAQMAHDGLARAIRPCHTMFDGDTIFCVATGIHDLPDTPGFFVAPKAVALNDIGRSAADCMSRAIIRGIVETHSLGTAVALRDLEAF</t>
        </is>
      </c>
      <c r="AE318" s="5" t="inlineStr">
        <is>
          <t>Desulfomonile tiedjei</t>
        </is>
      </c>
      <c r="AF318" s="5" t="n">
        <v>2358</v>
      </c>
      <c r="AG318" s="5" t="inlineStr">
        <is>
          <t>supp_unavailable</t>
        </is>
      </c>
      <c r="AH318" s="5" t="inlineStr">
        <is>
          <t>ncbi</t>
        </is>
      </c>
      <c r="AI318" s="5" t="n"/>
      <c r="AJ318" s="5" t="n"/>
      <c r="AK318" s="5" t="n"/>
      <c r="AL318" s="5" t="n">
        <v>1</v>
      </c>
    </row>
    <row r="319" ht="15" customHeight="1" s="12">
      <c r="A319" s="5" t="inlineStr">
        <is>
          <t>retrieving_only</t>
        </is>
      </c>
      <c r="B319" s="5" t="inlineStr">
        <is>
          <t>MHRNLAHSFRLLSVAAVLASGAALAPSASAATPARPASVAAAPAAVQRAADNPYQRGPAPTEASITAEKGPFAVETIPVPAGSGTGFNKGTVYAPTDTSEGTFGAIVVSPGFVSPEAWISWYGPRLASQGFVVMTLETNSLVDVPASRGDQLLAALDWLTGKSSVKNRIDASRTAVMGHSMGGGGTLEAANKRPSLKADIPLAPWDTNYNFPNIKTPTLIMGADNDLIAPASSMAESYYNNITTAPEKAYLLLKNAGHMTFVSPNTTIAKYSIAWMKRFVDNDTRYDQFLCPAPKPDANIAKYLDTCPNG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inlineStr">
        <is>
          <t>DP016</t>
        </is>
      </c>
      <c r="Z319" s="5" t="inlineStr">
        <is>
          <t>WP_151597653.1</t>
        </is>
      </c>
      <c r="AA319" s="5" t="inlineStr">
        <is>
          <t>Direct</t>
        </is>
      </c>
      <c r="AB319" s="5" t="n">
        <v>385</v>
      </c>
      <c r="AC319" s="5" t="inlineStr">
        <is>
          <t>10.1021/acscatal.5c03460</t>
        </is>
      </c>
      <c r="AD319" s="5" t="inlineStr">
        <is>
          <t>MHRNLAHSFRLLSVAAVLASGAALAPSASAATPARPASVAAAPAAVQRAADNPYQRGPAPTEASITAEKGPFAVETIPVPAGSGTGFNKGTVYAPTDTSEGTFGAIVVSPGFVSPEAWISWYGPRLASQGFVVMTLETNSLVDVPASRGDQLLAALDWLTGKSSVKNRIDASRTAVMGHSMGGGGTLEAANKRPSLKADIPLAPWDTNYNFPNIKTPTLIMGADNDLIAPASSMAESYYNNITTAPEKAYLLLKNAGHMTFVSPNTTIAKYSIAWMKRFVDNDTRYDQFLCPAPKPDANIAKYLDTCPNG</t>
        </is>
      </c>
      <c r="AE319" s="5" t="inlineStr">
        <is>
          <t>Actinomadura physcomitrii</t>
        </is>
      </c>
      <c r="AF319" s="5" t="n">
        <v>2650748</v>
      </c>
      <c r="AG319" s="5" t="inlineStr">
        <is>
          <t>seq_in_supp</t>
        </is>
      </c>
      <c r="AH319" s="5" t="inlineStr">
        <is>
          <t>ncbi</t>
        </is>
      </c>
      <c r="AI319" s="5" t="n"/>
      <c r="AJ319" s="5" t="n"/>
      <c r="AK319" s="5" t="n"/>
      <c r="AL319" s="5" t="n">
        <v>1</v>
      </c>
    </row>
    <row r="320" ht="15" customHeight="1" s="12">
      <c r="A320" s="5" t="inlineStr">
        <is>
          <t>retrieving_only</t>
        </is>
      </c>
      <c r="B320" s="5" t="inlineStr">
        <is>
          <t>MTAFGVDGVRVGHWSDPDAATGCTVVELPPGTVASYEVRGGAPASRELIALEPDKSVTAVDAVLLTGGSAFGLAAADGVMRRLEEAGRGVTTPAGVVPIVAAMALYDLAAGDASVRPGPAEGYAAARDVGTDVALHGRIGAGTGAHVGNWRGVDGRRPGGLGHAVRRLDDVVVAALCAVNAFGDIDDGHDEVVLDALRALPRPFDFERTNTTIGVVVTNARLDKTACRTVAQGAHDGLARAITPPHTRVDGDGFVAAATGEVEAHVDVVRLLALAAVTAAIRSVA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inlineStr">
        <is>
          <t>Nyl10</t>
        </is>
      </c>
      <c r="Z320" s="5" t="inlineStr">
        <is>
          <t>WP_073391230.1</t>
        </is>
      </c>
      <c r="AA320" s="5" t="inlineStr">
        <is>
          <t>Direct</t>
        </is>
      </c>
      <c r="AB320" s="5" t="n">
        <v>344</v>
      </c>
      <c r="AC320" s="5" t="inlineStr">
        <is>
          <t>10.1016/j.checat.2025.101418</t>
        </is>
      </c>
      <c r="AD320" s="5" t="inlineStr">
        <is>
          <t>MTAFGVDGVRVGHWSDPDAATGCTVVELPPGTVASYEVRGGAPASRELIALEPDKSVTAVDAVLLTGGSAFGLAAADGVMRRLEEAGRGVTTPAGVVPIVAAMALYDLAAGDASVRPGPAEGYAAARDVGTDVALHGRIGAGTGAHVGNWRGVDGRRPGGLGHAVRRLDDVVVAALCAVNAFGDIDDGHDEVVLDALRALPRPFDFERTNTTIGVVVTNARLDKTACRTVAQGAHDGLARAITPPHTRVDGDGFVAAATGEVEAHVDVVRLLALAAVTAAIRSVA</t>
        </is>
      </c>
      <c r="AE320" s="5" t="inlineStr">
        <is>
          <t>Jatrophihabitans endophyticus</t>
        </is>
      </c>
      <c r="AF320" s="5" t="n">
        <v>1206085</v>
      </c>
      <c r="AG320" s="5" t="inlineStr">
        <is>
          <t>supp_unavailable</t>
        </is>
      </c>
      <c r="AH320" s="5" t="inlineStr">
        <is>
          <t>ncbi</t>
        </is>
      </c>
      <c r="AI320" s="5" t="n"/>
      <c r="AJ320" s="5" t="n"/>
      <c r="AK320" s="5" t="n"/>
      <c r="AL320" s="5" t="n">
        <v>1</v>
      </c>
    </row>
    <row r="321" ht="15" customHeight="1" s="12">
      <c r="A321" s="5" t="inlineStr">
        <is>
          <t>retrieving_only</t>
        </is>
      </c>
      <c r="B321" s="5" t="inlineStr">
        <is>
          <t>MSVTTPRRRTPLLSRVLRTAAVAATAAASVLALSAPAQAANPYERGPNPTQALLEARSGPFSVSSERAWRLGSDGFGGGTIYYPRENNTYGAVAISPGYTGTQASVAWLGERIASHGFVVITIDTNTTLDQPDSRARQLDAALDHMLNDASSAVRSRIDRNRLAVMGHSMGGGGTLRLASQRPDLKAAIPLTPWHLNKSWSNVQVPTLIIGADLDTIAPVLTHAEPFYNSIPTSTRKAYLELDGATHFAPNITNSTIGMYSVAWLKRFVDEDTRYTQFLCPGPRTGLFSDVEEYRSTCPF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inlineStr">
        <is>
          <t>PC6</t>
        </is>
      </c>
      <c r="Z321" s="5" t="inlineStr">
        <is>
          <t>WP_068752972.1</t>
        </is>
      </c>
      <c r="AA321" s="5" t="inlineStr">
        <is>
          <t>Direct</t>
        </is>
      </c>
      <c r="AB321" s="5" t="n">
        <v>340</v>
      </c>
      <c r="AC321" s="5" t="inlineStr">
        <is>
          <t>10.1038/s41467-023-40233-w</t>
        </is>
      </c>
      <c r="AD321" s="5" t="inlineStr">
        <is>
          <t>MSVTTPRRRTPLLSRVLRTAAVAATAAASVLALSAPAQAANPYERGPNPTQALLEARSGPFSVSSERAWRLGSDGFGGGTIYYPRENNTYGAVAISPGYTGTQASVAWLGERIASHGFVVITIDTNTTLDQPDSRARQLDAALDHMLNDASSAVRSRIDRNRLAVMGHSMGGGGTLRLASQRPDLKAAIPLTPWHLNKSWSNVQVPTLIIGADLDTIAPVLTHAEPFYNSIPTSTRKAYLELDGATHFAPNITNSTIGMYSVAWLKRFVDEDTRYTQFLCPGPRTGLFSDVEEYRSTCPF</t>
        </is>
      </c>
      <c r="AE321" s="5" t="inlineStr">
        <is>
          <t>Thermobifida cellulosilytica</t>
        </is>
      </c>
      <c r="AF321" s="5" t="n">
        <v>144786</v>
      </c>
      <c r="AG321" s="5" t="inlineStr">
        <is>
          <t>supp_unavailable</t>
        </is>
      </c>
      <c r="AH321" s="5" t="inlineStr">
        <is>
          <t>ncbi</t>
        </is>
      </c>
      <c r="AI321" s="5" t="n"/>
      <c r="AJ321" s="5" t="n"/>
      <c r="AK321" s="5" t="n"/>
      <c r="AL321" s="5" t="n">
        <v>1</v>
      </c>
    </row>
    <row r="322" ht="15" customHeight="1" s="12">
      <c r="A322" s="5" t="inlineStr">
        <is>
          <t>retrieving_only</t>
        </is>
      </c>
      <c r="B322" s="5" t="inlineStr">
        <is>
          <t>MTAGVVGVVAVAVAAVMMPSADAASTLADNPYQRGPDPTVASVAAAYGTFATAQLTVPPGNGFNGGSIYYPTDTSQTYGAVAIVPGYTARFADEEAWMGPRLASFGFVVIGVETNSRNDFDTARGTQLLAALDYLTNSSAVRDRVDRNRLAVIGHSMGGGGALVAADQRPSLKAAIGLAPYKPSGNLANNRVPTLILSGQNDTVVTPSYLDGLYPTLPAATPGAYILLSGADHLFFTRPNDIEMRSQIPWLKTFVDNDTRYSQFLCPTLKDTTSVARSTAKCSLIPSGGNPSTPPSSSSPSPSSPASSSPPPSGAKHIVGAQSGRCVDVPNSSRTNGTRVQLYDCHSGTNQQWTYTSSRQLTVYGSMCLDAAGSGNGAAVQIYSCNGQANQQWNVNSNGTISGVQSGRCLDVWGTNNGQQIQLYDCHGQANQRFSLS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inlineStr">
        <is>
          <t>TEP054</t>
        </is>
      </c>
      <c r="Z322" s="5" t="inlineStr">
        <is>
          <t>WP_260709492.1</t>
        </is>
      </c>
      <c r="AA322" s="5" t="inlineStr">
        <is>
          <t>Direct</t>
        </is>
      </c>
      <c r="AB322" s="5" t="n">
        <v>458</v>
      </c>
      <c r="AC322" s="5" t="inlineStr">
        <is>
          <t>10.1021/acscatal.5c03460</t>
        </is>
      </c>
      <c r="AD322" s="5" t="inlineStr">
        <is>
          <t>MTAGVVGVVAVAVAAVMMPSADAASTLADNPYQRGPDPTVASVAAAYGTFATAQLTVPPGNGFNGGSIYYPTDTSQTYGAVAIVPGYTARFADEEAWMGPRLASFGFVVIGVETNSRNDFDTARGTQLLAALDYLTNSSAVRDRVDRNRLAVIGHSMGGGGALVAADQRPSLKAAIGLAPYKPSGNLANNRVPTLILSGQNDTVVTPSYLDGLYPTLPAATPGAYILLSGADHLFFTRPNDIEMRSQIPWLKTFVDNDTRYSQFLCPTLKDTTSVARSTAKCSLIPSGGNPSTPPSSSSPSPSSPASSSPPPSGAKHIVGAQSGRCVDVPNSSRTNGTRVQLYDCHSGTNQQWTYTSSRQLTVYGSMCLDAAGSGNGAAVQIYSCNGQANQQWNVNSNGTISGVQSGRCLDVWGTNNGQQIQLYDCHGQANQRFSLS</t>
        </is>
      </c>
      <c r="AE322" s="5" t="inlineStr">
        <is>
          <t>Dactylosporangium aurantiacum</t>
        </is>
      </c>
      <c r="AF322" s="5" t="n">
        <v>35754</v>
      </c>
      <c r="AG322" s="5" t="inlineStr">
        <is>
          <t>seq_in_supp</t>
        </is>
      </c>
      <c r="AH322" s="5" t="inlineStr">
        <is>
          <t>ncbi</t>
        </is>
      </c>
      <c r="AI322" s="5" t="n"/>
      <c r="AJ322" s="5" t="n"/>
      <c r="AK322" s="5" t="n"/>
      <c r="AL322" s="5" t="n">
        <v>1</v>
      </c>
    </row>
    <row r="323" ht="15" customHeight="1" s="12">
      <c r="A323" s="5" t="inlineStr">
        <is>
          <t>retrieving_only</t>
        </is>
      </c>
      <c r="B323" s="5" t="inlineStr">
        <is>
          <t>MSVTTPRRRTPLLSRVLRTAAVAATAAASVLALSAPAQAANPYERGPNPTQALLEARSGPFSVSSERAWRLGSDGFGGGTIYYPRENNTYGAVAISPGYTGTQASVAWLGERIASHGFVVITIDTNTTLDQPDSRADQLEAALDHMVDGASSTVRSRIDRNRLAVMGHSMGGGGTLRLASQRPDLKAAIPLTPWHLNKSWSNVQVPTLIIGADLDTIAPVLTHAEPFYNSIPTSTRKAYLELDGATHFAPNITNSTIGMYSVAWLKRFVDEDTRYTQFLCPGPRTGLFSDVEEYRSTCPF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inlineStr">
        <is>
          <t>TEP014</t>
        </is>
      </c>
      <c r="Z323" s="5" t="inlineStr">
        <is>
          <t>MGYP001477358452</t>
        </is>
      </c>
      <c r="AA323" s="5" t="inlineStr">
        <is>
          <t>Direct</t>
        </is>
      </c>
      <c r="AB323" s="5" t="n">
        <v>454</v>
      </c>
      <c r="AC323" s="5" t="inlineStr">
        <is>
          <t>10.1021/acscatal.5c03460</t>
        </is>
      </c>
      <c r="AD323" s="5" t="inlineStr">
        <is>
          <t>MSVTTPRRRTPLLSRVLRTAAVAATAAASVLALSAPAQAANPYERGPNPTQALLEARSGPFSVSSERAWRLGSDGFGGGTIYYPRENNTYGAVAISPGYTGTQASVAWLGERIASHGFVVITIDTNTTLDQPDSRADQLEAALDHMVDGASSTVRSRIDRNRLAVMGHSMGGGGTLRLASQRPDLKAAIPLTPWHLNKSWSNVQVPTLIIGADLDTIAPVLTHAEPFYNSIPTSTRKAYLELDGATHFAPNITNSTIGMYSVAWLKRFVDEDTRYTQFLCPGPRTGLFSDVEEYRSTCPF</t>
        </is>
      </c>
      <c r="AE323" s="5" t="inlineStr">
        <is>
          <t>Bioreactor metagenome</t>
        </is>
      </c>
      <c r="AF323" s="5" t="n">
        <v>144786</v>
      </c>
      <c r="AG323" s="5" t="inlineStr">
        <is>
          <t>acc_in_supp</t>
        </is>
      </c>
      <c r="AH323" s="5" t="inlineStr">
        <is>
          <t>mgnify</t>
        </is>
      </c>
      <c r="AI323" s="5" t="n"/>
      <c r="AJ323" s="5" t="n"/>
      <c r="AK323" s="5" t="n"/>
      <c r="AL323" s="5" t="n">
        <v>1</v>
      </c>
    </row>
    <row r="324" ht="15" customHeight="1" s="12">
      <c r="A324" s="5" t="inlineStr">
        <is>
          <t>retrieving_only</t>
        </is>
      </c>
      <c r="B324" s="5" t="inlineStr">
        <is>
          <t>MHPSVTDVPVSEDIRATRTGLRRTGRTVRLRAAVVAAVTGLITALVAIQPASARPASAQDNPYERGPDPTVSSVAAQRGTFATAEVTVPPGNGFNGGKIYYPTDTSKGTWGAVAAVPGYTAKWAAEGAWMGPWLASFGFVVIGIDTNSPNDYDTARGTQLLAALDYLTQKSPVRDRVDPNRLGVIGHSMGGGGAISAAERRPSLKAALPLAPFSPSQNLSSLRVPTMIMGARDDGTVTPSYLNGLYAGMPAATPSAYIELTSGGHGFPTWGNSNVTRRTIPWLKIFLDNDTRYTQLLCPSPADRTGVSRSQVKCAYVPGGGTTPPPPSSGQIVGAASARCLDVPNSSQTNGTQLQLWDCLDQTSQKWARTDAGELRVYGNKCLDAEASGTSAGTRAIIWDCHGGQNQRWNVNANGTITSARSGLCLDANNAGTANGTQAILWTCNGGSNQRWTLR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inlineStr">
        <is>
          <t>TEP097</t>
        </is>
      </c>
      <c r="Z324" s="5" t="inlineStr">
        <is>
          <t>WP_086599340.1</t>
        </is>
      </c>
      <c r="AA324" s="5" t="inlineStr">
        <is>
          <t>Direct</t>
        </is>
      </c>
      <c r="AB324" s="5" t="n">
        <v>464</v>
      </c>
      <c r="AC324" s="5" t="inlineStr">
        <is>
          <t>10.1021/acscatal.5c03460</t>
        </is>
      </c>
      <c r="AD324" s="5" t="inlineStr">
        <is>
          <t>MHPSVTDVPVSEDIRATRTGLRRTGRTVRLRAAVVAAVTGLITALVAIQPASARPASAQDNPYERGPDPTVSSVAAQRGTFATAEVTVPPGNGFNGGKIYYPTDTSKGTWGAVAAVPGYTAKWAAEGAWMGPWLASFGFVVIGIDTNSPNDYDTARGTQLLAALDYLTQKSPVRDRVDPNRLGVIGHSMGGGGAISAAERRPSLKAALPLAPFSPSQNLSSLRVPTMIMGARDDGTVTPSYLNGLYAGMPAATPSAYIELTSGGHGFPTWGNSNVTRRTIPWLKIFLDNDTRYTQLLCPSPADRTGVSRSQVKCAYVPGGGTTPPPPSSGQIVGAASARCLDVPNSSQTNGTQLQLWDCLDQTSQKWARTDAGELRVYGNKCLDAEASGTSAGTRAIIWDCHGGQNQRWNVNANGTITSARSGLCLDANNAGTANGTQAILWTCNGGSNQRWTLR</t>
        </is>
      </c>
      <c r="AE324" s="5" t="inlineStr">
        <is>
          <t>Streptomyces swartbergensis</t>
        </is>
      </c>
      <c r="AF324" s="5" t="n">
        <v>487165</v>
      </c>
      <c r="AG324" s="5" t="inlineStr">
        <is>
          <t>seq_in_supp</t>
        </is>
      </c>
      <c r="AH324" s="5" t="inlineStr">
        <is>
          <t>ncbi</t>
        </is>
      </c>
      <c r="AI324" s="5" t="n"/>
      <c r="AJ324" s="5" t="n"/>
      <c r="AK324" s="5" t="n"/>
      <c r="AL324" s="5" t="n">
        <v>1</v>
      </c>
    </row>
    <row r="325" ht="15" customHeight="1" s="12">
      <c r="A325" s="5" t="inlineStr">
        <is>
          <t>retrieving_only</t>
        </is>
      </c>
      <c r="B325" s="5" t="inlineStr">
        <is>
          <t>MHPSTRLRAAVVAAVTGLIAALLATQPASARPAAPADSPYQRGPDPTVSSVAAQRGTFATAELTVPPGNGFNGGKIYYPTDTSQGTWAAVAAVPGYTAKWAAEGAWMGPWLASFGFVVIGIDTDSPNDYDTARGTQLLAALDYLTQRSPVRDRVDPGRLGVIGHSMGGGGAINAAERRPSLKAALPLAPFSPSQNLSTLRVPTMIMGARDDGTVTPSYLNGLYGGMPATTPSASIELTSGGHGFPTWGNSNVTRRTIPWLKIFLDEDTRYTQFLCPSLPDRTGISRSQVTCGSVPGDGSTPPPATGRQVVGAASGRCLDVPGSSQANGTQLQLWDCLDQAGQKWARTDAGELRVLGGKCLDAEASGTAPGTRAVVWDCHGGPNQRWNVTPDGTITSAQSGLCLDAYNAGTANGTRTVLWTCNGGSNQRWTWR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inlineStr">
        <is>
          <t>TEP102</t>
        </is>
      </c>
      <c r="Z325" s="5" t="inlineStr">
        <is>
          <t>WP_109361459.1</t>
        </is>
      </c>
      <c r="AA325" s="5" t="inlineStr">
        <is>
          <t>Direct</t>
        </is>
      </c>
      <c r="AB325" s="5" t="n">
        <v>466</v>
      </c>
      <c r="AC325" s="5" t="inlineStr">
        <is>
          <t>10.1021/acscatal.5c03460</t>
        </is>
      </c>
      <c r="AD325" s="5" t="inlineStr">
        <is>
          <t>MHPSTRLRAAVVAAVTGLIAALLATQPASARPAAPADSPYQRGPDPTVSSVAAQRGTFATAELTVPPGNGFNGGKIYYPTDTSQGTWAAVAAVPGYTAKWAAEGAWMGPWLASFGFVVIGIDTDSPNDYDTARGTQLLAALDYLTQRSPVRDRVDPGRLGVIGHSMGGGGAINAAERRPSLKAALPLAPFSPSQNLSTLRVPTMIMGARDDGTVTPSYLNGLYGGMPATTPSASIELTSGGHGFPTWGNSNVTRRTIPWLKIFLDEDTRYTQFLCPSLPDRTGISRSQVTCGSVPGDGSTPPPATGRQVVGAASGRCLDVPGSSQANGTQLQLWDCLDQAGQKWARTDAGELRVLGGKCLDAEASGTAPGTRAVVWDCHGGPNQRWNVTPDGTITSAQSGLCLDAYNAGTANGTRTVLWTCNGGSNQRWTWR</t>
        </is>
      </c>
      <c r="AE325" s="5" t="inlineStr">
        <is>
          <t>Streptomyces sp. V2</t>
        </is>
      </c>
      <c r="AF325" s="5" t="n">
        <v>1424099</v>
      </c>
      <c r="AG325" s="5" t="inlineStr">
        <is>
          <t>acc_in_supp</t>
        </is>
      </c>
      <c r="AH325" s="5" t="inlineStr">
        <is>
          <t>ncbi</t>
        </is>
      </c>
      <c r="AI325" s="5" t="n"/>
      <c r="AJ325" s="5" t="n"/>
      <c r="AK325" s="5" t="n"/>
      <c r="AL325" s="5" t="n">
        <v>1</v>
      </c>
    </row>
    <row r="326" ht="15" customHeight="1" s="12">
      <c r="A326" s="5" t="inlineStr">
        <is>
          <t>retrieving_only</t>
        </is>
      </c>
      <c r="B326" s="5" t="inlineStr">
        <is>
          <t>MHPNRTVRLRAALIAAVIGLLAALVSTAPATAQANPYQRGPDPTVSSVAAQRGTFATAELTVAPGNGFNGGKIYYPTDTSQGTWAAIAAVPGYTARWDNEGAWMGPWLASFGFVVIGIDTNSTLDWDTARGTQLLAALDYLTQRSPVRDRVDPNRLGVLGHSMGGGGAISAAERRPALKAAVPLAPFSPSQNLSTLRVPTMIVSARDDSVVTPLSVDNLYATMPAATPGAALELTTGGHGFPTWGNSAVTRRTIPWLKIFLDNDTRYTQFLCPSLADLSGISRSRTKCPYGTALAAPETQLAVR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>
        <v>1496</v>
      </c>
      <c r="Z326" s="5" t="inlineStr">
        <is>
          <t>WP_075737041.1</t>
        </is>
      </c>
      <c r="AA326" s="5" t="inlineStr">
        <is>
          <t>Direct</t>
        </is>
      </c>
      <c r="AB326" s="5" t="n">
        <v>299</v>
      </c>
      <c r="AC326" s="5" t="inlineStr">
        <is>
          <t>10.1126/science.adp5637</t>
        </is>
      </c>
      <c r="AD326" s="5" t="inlineStr">
        <is>
          <t>MHPNRTVRLRAALIAAVIGLLAALVSTAPATAQANPYQRGPDPTVSSVAAQRGTFATAELTVAPGNGFNGGKIYYPTDTSQGTWAAIAAVPGYTARWDNEGAWMGPWLASFGFVVIGIDTNSTLDWDTARGTQLLAALDYLTQRSPVRDRVDPNRLGVLGHSMGGGGAISAAERRPALKAAVPLAPFSPSQNLSTLRVPTMIVSARDDSVVTPLSVDNLYATMPAATPGAALELTTGGHGFPTWGNSAVTRRTIPWLKIFLDNDTRYTQFLCPSLADLSGISRSRTKCPYGTALAAPETQLAVR</t>
        </is>
      </c>
      <c r="AE326" s="5" t="inlineStr">
        <is>
          <t>Streptomyces acidiscabies</t>
        </is>
      </c>
      <c r="AF326" s="5" t="n">
        <v>42234</v>
      </c>
      <c r="AG326" s="5" t="inlineStr">
        <is>
          <t>supp_unavailable</t>
        </is>
      </c>
      <c r="AH326" s="5" t="inlineStr">
        <is>
          <t>ncbi</t>
        </is>
      </c>
      <c r="AI326" s="5" t="n"/>
      <c r="AJ326" s="5" t="n"/>
      <c r="AK326" s="5" t="n"/>
      <c r="AL326" s="5" t="n">
        <v>1</v>
      </c>
    </row>
    <row r="327" ht="15" customHeight="1" s="12">
      <c r="A327" s="5" t="inlineStr">
        <is>
          <t>retrieving_only</t>
        </is>
      </c>
      <c r="B327" s="5" t="inlineStr">
        <is>
          <t>MHLRRSRLLAMLSLALTLAVGAAVASPAHALNPYQRGPNPTDAILEASSGPYATSSISVPSIVSGFGGGRIYYPTTTADGTFGGIAISPGFTATWSSLSWLGPRLASHGFVVIGIETNTIYDQPTSRGQQLLAALDYLVNTSSVRTRVDSSRLAVAGHSMGGGGTLWAANSRPSLQAAIPLAPWNTDKSWSGVRVPTLIVGGQSDTVAPVATHSIPFYTSIPAASEKAYLELRSASHFFPQTVNTTVAVSMVSWLKRYVDDDTRYDPWLCPGPSGLSVSDYRDTCPA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inlineStr">
        <is>
          <t>TEP178</t>
        </is>
      </c>
      <c r="Z327" s="5" t="inlineStr">
        <is>
          <t>WP_253762837.1</t>
        </is>
      </c>
      <c r="AA327" s="5" t="inlineStr">
        <is>
          <t>Direct</t>
        </is>
      </c>
      <c r="AB327" s="5" t="n">
        <v>476</v>
      </c>
      <c r="AC327" s="5" t="inlineStr">
        <is>
          <t>10.1021/acscatal.5c03460</t>
        </is>
      </c>
      <c r="AD327" s="5" t="inlineStr">
        <is>
          <t>MHLRRSRLLAMLSLALTLAVGAAVASPAHALNPYQRGPNPTDAILEASSGPYATSSISVPSIVSGFGGGRIYYPTTTADGTFGGIAISPGFTATWSSLSWLGPRLASHGFVVIGIETNTIYDQPTSRGQQLLAALDYLVNTSSVRTRVDSSRLAVAGHSMGGGGTLWAANSRPSLQAAIPLAPWNTDKSWSGVRVPTLIVGGQSDTVAPVATHSIPFYTSIPAASEKAYLELRSASHFFPQTVNTTVAVSMVSWLKRYVDDDTRYDPWLCPGPSGLSVSDYRDTCPA</t>
        </is>
      </c>
      <c r="AE327" s="5" t="inlineStr">
        <is>
          <t>Hamadaea flava</t>
        </is>
      </c>
      <c r="AF327" s="5" t="n">
        <v>1742688</v>
      </c>
      <c r="AG327" s="5" t="inlineStr">
        <is>
          <t>seq_in_supp</t>
        </is>
      </c>
      <c r="AH327" s="5" t="inlineStr">
        <is>
          <t>ncbi</t>
        </is>
      </c>
      <c r="AI327" s="5" t="n"/>
      <c r="AJ327" s="5" t="n"/>
      <c r="AK327" s="5" t="n"/>
      <c r="AL327" s="5" t="n">
        <v>1</v>
      </c>
    </row>
    <row r="328" ht="15" customHeight="1" s="12">
      <c r="A328" s="5" t="inlineStr">
        <is>
          <t>retrieving_only</t>
        </is>
      </c>
      <c r="B328" s="5" t="inlineStr">
        <is>
          <t>MGVFERTEGILAGHAVTPDGGTGVSVFLFPDGAVASAEVRGFAAGTRQFDSLSLTHSVDEIHGVVFAGGSVFGHSAAQSVVLALAERGIGLSTDHGVVPVVPSAVIYDLGLGGGREVDYGSLGLRALERAFSGDPEGYPGAGAGATVGKLLGVERATKTSAGGAEEEVEGVSLGVFVVLNSFGEVVDRNGEVIAGIRGEGQFERTMELFSRGADRRPFRGGDSTTLTLIATDGVLSHRELHYFCVQANNFLAGRIRPYGTVYDGDVVVAVATGKRGRPVPANRAISLVERLLGEAIDSAVRDARGMRGIPSAVEFLSQGGSQ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inlineStr">
        <is>
          <t>Nyl40</t>
        </is>
      </c>
      <c r="Z328" s="5" t="inlineStr">
        <is>
          <t>A0A3M1X2K7</t>
        </is>
      </c>
      <c r="AA328" s="5" t="inlineStr">
        <is>
          <t>Direct</t>
        </is>
      </c>
      <c r="AB328" s="5" t="n">
        <v>358</v>
      </c>
      <c r="AC328" s="5" t="inlineStr">
        <is>
          <t>10.1016/j.checat.2025.101418</t>
        </is>
      </c>
      <c r="AD328" s="5" t="inlineStr">
        <is>
          <t>MGVFERTEGILAGHAVTPDGGTGVSVFLFPDGAVASAEVRGFAAGTRQFDSLSLTHSVDEIHGVVFAGGSVFGHSAAQSVVLALAERGIGLSTDHGVVPVVPSAVIYDLGLGGGREVDYGSLGLRALERAFSGDPEGYPGAGAGATVGKLLGVERATKTSAGGAEEEVEGVSLGVFVVLNSFGEVVDRNGEVIAGIRGEGQFERTMELFSRGADRRPFRGGDSTTLTLIATDGVLSHRELHYFCVQANNFLAGRIRPYGTVYDGDVVVAVATGKRGRPVPANRAISLVERLLGEAIDSAVRDARGMRGIPSAVEFLSQGGSQ</t>
        </is>
      </c>
      <c r="AE328" s="5" t="inlineStr">
        <is>
          <t>Deltaproteobacteria bacterium</t>
        </is>
      </c>
      <c r="AF328" s="5" t="n">
        <v>2026735</v>
      </c>
      <c r="AG328" s="5" t="inlineStr">
        <is>
          <t>supp_unavailable</t>
        </is>
      </c>
      <c r="AH328" s="5" t="inlineStr">
        <is>
          <t>uniparc</t>
        </is>
      </c>
      <c r="AI328" s="5" t="n"/>
      <c r="AJ328" s="5" t="n"/>
      <c r="AK328" s="5" t="n"/>
      <c r="AL328" s="5" t="n">
        <v>1</v>
      </c>
    </row>
    <row r="329" ht="15" customHeight="1" s="12">
      <c r="A329" s="5" t="inlineStr">
        <is>
          <t>retrieving_only</t>
        </is>
      </c>
      <c r="B329" s="5" t="inlineStr">
        <is>
          <t>MRMSLIRKLAAIPAALLLFGAAATVASPAGAAIEHRRGPAPSEQSVLAANGPFSHSTFAVSDAASAKFGKGTIYYPNDTSQGTFGGVAISPGYTSTEPHIAWLGTRLAAHGFVTITITTNSLYDNPTERGQQLLAALDYLANNAPLAIRQRLDTSRMGVVGHSMGGGGSLYAVWNRPALKAAVPLAPYHTIKNWSGIKTPTMIIGGSADGVAPVEEHSERFYSSMTYARERAYAELEGANHSGSFLFEDHPIIGKFTVAWLKRFIDGDTRYDQFLCPPPTGAYLTEYRASCPHA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inlineStr">
        <is>
          <t>DP006</t>
        </is>
      </c>
      <c r="Z329" s="5" t="inlineStr">
        <is>
          <t>TDP67440</t>
        </is>
      </c>
      <c r="AA329" s="5" t="inlineStr">
        <is>
          <t>Direct</t>
        </is>
      </c>
      <c r="AB329" s="5" t="n">
        <v>382</v>
      </c>
      <c r="AC329" s="5" t="inlineStr">
        <is>
          <t>10.1021/acscatal.5c03460</t>
        </is>
      </c>
      <c r="AD329" s="5" t="inlineStr">
        <is>
          <t>MRMSLIRKLAAIPAALLLFGAAATVASPAGAAIEHRRGPAPSEQSVLAANGPFSHSTFAVSDAASAKFGKGTIYYPNDTSQGTFGGVAISPGYTSTEPHIAWLGTRLAAHGFVTITITTNSLYDNPTERGQQLLAALDYLANNAPLAIRQRLDTSRMGVVGHSMGGGGSLYAVWNRPALKAAVPLAPYHTIKNWSGIKTPTMIIGGSADGVAPVEEHSERFYSSMTYARERAYAELEGANHSGSFLFEDHPIIGKFTVAWLKRFIDGDTRYDQFLCPPPTGAYLTEYRASCPHA</t>
        </is>
      </c>
      <c r="AE329" s="5" t="inlineStr">
        <is>
          <t>Actinokineospora alba</t>
        </is>
      </c>
      <c r="AF329" s="5" t="n">
        <v>504798</v>
      </c>
      <c r="AG329" s="5" t="inlineStr">
        <is>
          <t>seq_in_supp</t>
        </is>
      </c>
      <c r="AH329" s="5" t="inlineStr">
        <is>
          <t>ncbi</t>
        </is>
      </c>
      <c r="AI329" s="5" t="n"/>
      <c r="AJ329" s="5" t="n"/>
      <c r="AK329" s="5" t="n"/>
      <c r="AL329" s="5" t="n">
        <v>1</v>
      </c>
    </row>
    <row r="330" ht="15" customHeight="1" s="12">
      <c r="A330" s="5" t="inlineStr">
        <is>
          <t>retrieving_only</t>
        </is>
      </c>
      <c r="B330" s="5" t="inlineStr">
        <is>
          <t>MSVSLKSAFRALPLTASIALAGCFGGGDPDPSPEGQALGVPGDFEICSYEANLENDGYASARMTYPCDLSGGPIPATTLTGGFTNTKEQMEWLAEHLSSHGYAVLTMTPNNTLGVPPGWRDAQFGGFAEFEDENSRSGSPLQGKIDLTKRNLMGFSMGGGGVILAAEEMVDQHTSAIALAPWLGAYSVDFEAIESPILMLGSEFDELAYATERYYSELSPNTERGLAMYAGGSHFHWFGNSETEYKKKFRTLVTAFLEVQLKGDTSAYSYFDGAEHEEHVEEGWFSAYDYQK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inlineStr">
        <is>
          <t>APET-32</t>
        </is>
      </c>
      <c r="Z330" s="5" t="inlineStr">
        <is>
          <t>KZY99137.1</t>
        </is>
      </c>
      <c r="AA330" s="5" t="inlineStr">
        <is>
          <t>Direct</t>
        </is>
      </c>
      <c r="AB330" s="5" t="n">
        <v>269</v>
      </c>
      <c r="AC330" s="5" t="inlineStr">
        <is>
          <t>10.1038/s41467-025-61599-z</t>
        </is>
      </c>
      <c r="AD330" s="5" t="inlineStr">
        <is>
          <t>MSVSLKSAFRALPLTASIALAGCFGGGDPDPSPEGQALGVPGDFEICSYEANLENDGYASARMTYPCDLSGGPIPATTLTGGFTNTKEQMEWLAEHLSSHGYAVLTMTPNNTLGVPPGWRDAQFGGFAEFEDENSRSGSPLQGKIDLTKRNLMGFSMGGGGVILAAEEMVDQHTSAIALAPWLGAYSVDFEAIESPILMLGSEFDELAYATERYYSELSPNTERGLAMYAGGSHFHWFGNSETEYKKKFRTLVTAFLEVQLKGDTSAYSYFDGAEHEEHVEEGWFSAYDYQK</t>
        </is>
      </c>
      <c r="AE330" s="5" t="inlineStr">
        <is>
          <t>Oleibacter sp. HI0075</t>
        </is>
      </c>
      <c r="AF330" s="5" t="n">
        <v>1822250</v>
      </c>
      <c r="AG330" s="5" t="inlineStr">
        <is>
          <t>supp_unavailable</t>
        </is>
      </c>
      <c r="AH330" s="5" t="inlineStr">
        <is>
          <t>ncbi</t>
        </is>
      </c>
      <c r="AI330" s="5" t="n"/>
      <c r="AJ330" s="5" t="n"/>
      <c r="AK330" s="5" t="n"/>
      <c r="AL330" s="5" t="n">
        <v>1</v>
      </c>
    </row>
    <row r="331" ht="15" customHeight="1" s="12">
      <c r="A331" s="5" t="inlineStr">
        <is>
          <t>retrieving_only</t>
        </is>
      </c>
      <c r="B331" s="5" t="inlineStr">
        <is>
          <t>MKNKSILILASLFCVSASAQTLFSDDFQDGNFDGWIISGSGAQAITNQYASNYSLRLVKQKQATQTVLTQGYGNLALSVDIAGYLLEYNERCIAQYSVDNGNNWNVFSTLENGQDDGVTLYTGNATLPTQTAQVMISLATQGNNNADYCYFDNILLTGEPAPVSSGFEPLTGDGNVSRTLLTPAVLNNDNASLTNNSAYALPSNAAHPSNTFSGTLTLFDESTSGTLQEQGTNIASSYTNPEHLPEFEFEFVQTGSHIIPLERGLIATAHPAWHYILEPGRVWNENSDNGFTRVALPFALQEAGANCTHNGVLSFLFKDDGSTSNVAYQITGETCAYFKFNSWGMLGTSYTPSSITNSESIQNNYVDEVTRRMPTKNISELSNDYPSANITTAQLGSDQAASDQTVFGVVVDGINYVSSCKTRMGDYPFCEVMALPSYSTAKSVVGAVGLMRMEQKYPGIKTQTVNQCYASSWSEVSFEDLLDMATGRYNSDGFEVDEGDSTTANNFFLKYTNSEKLNHACSYTKKAPAGTKWVYHTSDTYLLGVQLNALETTDLWDMLYADVWQPLGVSPIMSTTSRTTESTSNPWNGQPLSGYGLTYHYDDVVKIAEFLSKDQGVINGIQILEPTMLAQTLQTQAHGLNAGSQYDSYDNGFWIWNAQQAFSCNNALSIPYMSGYGGIVVSLLPNDMIYYAFSDSNDYGQVNTALELHKIRSMCN</t>
        </is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inlineStr">
        <is>
          <t>PA4-degrading enzyme</t>
        </is>
      </c>
      <c r="Z331" s="5" t="inlineStr">
        <is>
          <t>BEG79545</t>
        </is>
      </c>
      <c r="AA331" s="5" t="inlineStr">
        <is>
          <t>Direct</t>
        </is>
      </c>
      <c r="AB331" s="5" t="n">
        <v>249</v>
      </c>
      <c r="AC331" s="5" t="inlineStr">
        <is>
          <t>10.1016/j.polymdegradstab.2023.110446</t>
        </is>
      </c>
      <c r="AD331" s="5" t="inlineStr">
        <is>
          <t>MKNKSILILASLFCVSASAQTLFSDDFQDGNFDGWIISGSGAQAITNQYASNYSLRLVKQKQATQTVLTQGYGNLALSVDIAGYLLEYNERCIAQYSVDNGNNWNVFSTLENGQDDGVTLYTGNATLPTQTAQVMISLATQGNNNADYCYFDNILLTGEPAPVSSGFEPLTGDGNVSRTLLTPAVLNNDNASLTNNSAYALPSNAAHPSNTFSGTLTLFDESTSGTLQEQGTNIASSYTNPEHLPEFEFEFVQTGSHIIPLERGLIATAHPAWHYILEPGRVWNENSDNGFTRVALPFALQEAGANCTHNGVLSFLFKDDGSTSNVAYQITGETCAYFKFNSWGMLGTSYTPSSITNSESIQNNYVDEVTRRMPTKNISELSNDYPSANITTAQLGSDQAASDQTVFGVVVDGINYVSSCKTRMGDYPFCEVMALPSYSTAKSVVGAVGLMRMEQKYPGIKTQTVNQCYASSWSEVSFEDLLDMATGRYNSDGFEVDEGDSTTANNFFLKYTNSEKLNHACSYTKKAPAGTKWVYHTSDTYLLGVQLNALETTDLWDMLYADVWQPLGVSPIMSTTSRTTESTSNPWNGQPLSGYGLTYHYDDVVKIAEFLSKDQGVINGIQILEPTMLAQTLQTQAHGLNAGSQYDSYDNGFWIWNAQQAFSCNNALSIPYMSGYGGIVVSLLPNDMIYYAFSDSNDYGQVNTALELHKIRSMCN</t>
        </is>
      </c>
      <c r="AE331" s="5" t="inlineStr">
        <is>
          <t>Pseudoalteromonas sp.</t>
        </is>
      </c>
      <c r="AF331" s="5" t="n">
        <v>53249</v>
      </c>
      <c r="AG331" s="5" t="inlineStr">
        <is>
          <t>supp_unavailable</t>
        </is>
      </c>
      <c r="AH331" s="5" t="inlineStr">
        <is>
          <t>ncbi</t>
        </is>
      </c>
      <c r="AI331" s="5" t="n"/>
      <c r="AJ331" s="5" t="n"/>
      <c r="AK331" s="5" t="n"/>
      <c r="AL331" s="5" t="n">
        <v>1</v>
      </c>
    </row>
    <row r="332" ht="15" customHeight="1" s="12">
      <c r="A332" s="5" t="inlineStr">
        <is>
          <t>retrieving_only</t>
        </is>
      </c>
      <c r="B332" s="5" t="inlineStr">
        <is>
          <t>MKHNMHKLALSLLATGALMFSSAALASNPAPDTGSGDGSSSQYQIGPDPTVSFLEASSGPFSVRTSNVSSLVSGFGGGTIHYPTGVNRPMAAIVVIPGFVSAESSIDWWGPKLASYGFVVMTIGTNSGFDQPPSRARQINNALDYLVAQNTNSRSPVNGMIDTNRLGAMGWSMGGGGTLRVAEEGRIKAAIPLAPWDTTSFRSNRTPTLIFACGSDSIAPVRTHASPFYNQIPTSTPKIFIEINRGNHYCANGGNSNNATLGRLGVAWMKRFLDEDRRYSQFLCGPRHTSDRNISESRDTCNF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inlineStr">
        <is>
          <t>ESM186</t>
        </is>
      </c>
      <c r="Z332" s="5" t="inlineStr">
        <is>
          <t>WP_093473685.1</t>
        </is>
      </c>
      <c r="AA332" s="5" t="inlineStr">
        <is>
          <t>Direct</t>
        </is>
      </c>
      <c r="AB332" s="5" t="n">
        <v>452</v>
      </c>
      <c r="AC332" s="5" t="inlineStr">
        <is>
          <t>10.1021/acscatal.5c03460</t>
        </is>
      </c>
      <c r="AD332" s="5" t="inlineStr">
        <is>
          <t>MKHNMHKLALSLLATGALMFSSAALASNPAPDTGSGDGSSSQYQIGPDPTVSFLEASSGPFSVRTSNVSSLVSGFGGGTIHYPTGVNRPMAAIVVIPGFVSAESSIDWWGPKLASYGFVVMTIGTNSGFDQPPSRARQINNALDYLVAQNTNSRSPVNGMIDTNRLGAMGWSMGGGGTLRVAEEGRIKAAIPLAPWDTTSFRSNRTPTLIFACGSDSIAPVRTHASPFYNQIPTSTPKIFIEINRGNHYCANGGNSNNATLGRLGVAWMKRFLDEDRRYSQFLCGPRHTSDRNISESRDTCNF</t>
        </is>
      </c>
      <c r="AE332" s="5" t="inlineStr">
        <is>
          <t>Halopseudomonas yangmingensis</t>
        </is>
      </c>
      <c r="AF332" s="5" t="n">
        <v>1720063</v>
      </c>
      <c r="AG332" s="5" t="inlineStr">
        <is>
          <t>seq_in_supp</t>
        </is>
      </c>
      <c r="AH332" s="5" t="inlineStr">
        <is>
          <t>ncbi</t>
        </is>
      </c>
      <c r="AI332" s="5" t="n"/>
      <c r="AJ332" s="5" t="n"/>
      <c r="AK332" s="5" t="n"/>
      <c r="AL332" s="5" t="n">
        <v>1</v>
      </c>
    </row>
    <row r="333" ht="15" customHeight="1" s="12">
      <c r="A333" s="5" t="inlineStr">
        <is>
          <t>both</t>
        </is>
      </c>
      <c r="B333" s="5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C333" s="5" t="n">
        <v>187</v>
      </c>
      <c r="D333" s="5" t="inlineStr">
        <is>
          <t>P13397.2</t>
        </is>
      </c>
      <c r="E333" s="5" t="n">
        <v>10</v>
      </c>
      <c r="F333" s="5" t="inlineStr">
        <is>
          <t>NylA</t>
        </is>
      </c>
      <c r="G333" s="5" t="inlineStr">
        <is>
          <t>Amidase signature</t>
        </is>
      </c>
      <c r="H333" s="5" t="inlineStr">
        <is>
          <t>3.90.1300.10</t>
        </is>
      </c>
      <c r="I333" s="5" t="inlineStr">
        <is>
          <t>Bacteria</t>
        </is>
      </c>
      <c r="J333" s="5" t="inlineStr">
        <is>
          <t>Pseudomonas sp. strain NK87</t>
        </is>
      </c>
      <c r="K333" s="5" t="inlineStr">
        <is>
          <t>NylA</t>
        </is>
      </c>
      <c r="L333" s="5" t="inlineStr">
        <is>
          <t>PA</t>
        </is>
      </c>
      <c r="M333" s="5" t="inlineStr">
        <is>
          <t>-</t>
        </is>
      </c>
      <c r="N333" s="5" t="inlineStr">
        <is>
          <t>Kanagawa, 1989</t>
        </is>
      </c>
      <c r="O333" s="5" t="inlineStr">
        <is>
          <t>NYLA_PSES8</t>
        </is>
      </c>
      <c r="P333" s="5" t="inlineStr">
        <is>
          <t>P13397.2</t>
        </is>
      </c>
      <c r="Q333" s="5" t="inlineStr">
        <is>
          <t>-</t>
        </is>
      </c>
      <c r="R333" s="5" t="inlineStr">
        <is>
          <t>NYLA_PSES8</t>
        </is>
      </c>
      <c r="S333" s="5" t="inlineStr">
        <is>
          <t>6-aminohexanoate-cyclic-dimer hydrolase</t>
        </is>
      </c>
      <c r="T333" s="5" t="inlineStr">
        <is>
          <t>-</t>
        </is>
      </c>
      <c r="U333" s="5">
        <f>FALSE()</f>
        <v/>
      </c>
      <c r="V333" s="5">
        <f>TRUE()</f>
        <v/>
      </c>
      <c r="W333" s="5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X333" s="5" t="n">
        <v>1</v>
      </c>
      <c r="Y333" s="5" t="inlineStr">
        <is>
          <t>P-nylA</t>
        </is>
      </c>
      <c r="Z333" s="5" t="inlineStr">
        <is>
          <t>AAA25908.1</t>
        </is>
      </c>
      <c r="AA333" s="5" t="inlineStr">
        <is>
          <t>Direct</t>
        </is>
      </c>
      <c r="AB333" s="5" t="n">
        <v>54</v>
      </c>
      <c r="AC333" s="5" t="inlineStr">
        <is>
          <t>10.1128/jb.171.6.3181-3186.1989</t>
        </is>
      </c>
      <c r="AD333" s="5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AE333" s="5" t="inlineStr">
        <is>
          <t>Pseudomonas sp. NK87</t>
        </is>
      </c>
      <c r="AF333" s="5" t="n">
        <v>314</v>
      </c>
      <c r="AG333" s="5" t="inlineStr">
        <is>
          <t>supp_unavailable</t>
        </is>
      </c>
      <c r="AH333" s="5" t="inlineStr">
        <is>
          <t>ncbi</t>
        </is>
      </c>
      <c r="AI333" s="5" t="n"/>
      <c r="AJ333" s="5" t="n"/>
      <c r="AK333" s="5" t="n"/>
      <c r="AL333" s="5" t="n">
        <v>1</v>
      </c>
    </row>
    <row r="334" ht="15" customHeight="1" s="12">
      <c r="A334" s="5" t="inlineStr">
        <is>
          <t>both</t>
        </is>
      </c>
      <c r="B334" s="5" t="inlineStr">
        <is>
          <t>MSNVQGYFDPRFERVRELFAEQQQDEQARGAALCVTVGGDTVLDLWQGVTDKENQQVWEQDTLVNVFSCTKPLGAVALLQQVAAGRIELDAPLAEVWPEFAQAGKQDITLRQVLSHRSGLSAIAKALPPEALFDWSTMSAALAEQAPWWEPGTAHGYAPVTYAWLLGEPLSRLTNESPGNYIQQHICAPLGMDFHVGVPDKDLARIAHVSRLRNQSGDEGARKLFAAMGEPEGLTAKAFGNPVSMMTSTNKREWQQAEILSANGTGNARSLARFWQLLAHGGELDGVKLLDSELVSLMQQEHSQGQDRTLLCPTRFGLGVMLEQDAPGGGFGMGPQAFGHPGAGGSLGFCDPEAKVGFGYVTNTMGPYVLMDPRALALSQAVHDCLRELD</t>
        </is>
      </c>
      <c r="C334" s="5" t="n">
        <v>171</v>
      </c>
      <c r="D334" s="5" t="inlineStr">
        <is>
          <t>AGT96414.1</t>
        </is>
      </c>
      <c r="E334" s="5" t="n">
        <v>8</v>
      </c>
      <c r="F334" s="5" t="inlineStr">
        <is>
          <t>NylB</t>
        </is>
      </c>
      <c r="G334" s="5" t="inlineStr">
        <is>
          <t xml:space="preserve">DD-peptidase/beta-lactamase </t>
        </is>
      </c>
      <c r="H334" s="5" t="inlineStr">
        <is>
          <t>3.40.710.10</t>
        </is>
      </c>
      <c r="I334" s="5" t="inlineStr">
        <is>
          <t>Metagenome</t>
        </is>
      </c>
      <c r="J334" s="5" t="inlineStr">
        <is>
          <t>Marine metagenome</t>
        </is>
      </c>
      <c r="K334" s="5" t="inlineStr">
        <is>
          <t>MGS0105 (KC986400)</t>
        </is>
      </c>
      <c r="L334" s="5" t="inlineStr">
        <is>
          <t>PLA</t>
        </is>
      </c>
      <c r="M334" s="5" t="inlineStr">
        <is>
          <t>EC 3.1.1.1</t>
        </is>
      </c>
      <c r="N334" s="5" t="inlineStr">
        <is>
          <t>Tchigvintsev, 2015</t>
        </is>
      </c>
      <c r="O334" s="5" t="inlineStr">
        <is>
          <t>AGT96414.1</t>
        </is>
      </c>
      <c r="P334" s="5" t="inlineStr">
        <is>
          <t>AGT96414.1</t>
        </is>
      </c>
      <c r="Q334" s="5" t="inlineStr">
        <is>
          <t>-</t>
        </is>
      </c>
      <c r="R334" s="5" t="inlineStr">
        <is>
          <t>T1W153</t>
        </is>
      </c>
      <c r="S334" s="5" t="inlineStr">
        <is>
          <t>esterase</t>
        </is>
      </c>
      <c r="T334" s="5" t="inlineStr">
        <is>
          <t>uncultured bacterium</t>
        </is>
      </c>
      <c r="U334" s="5">
        <f>FALSE()</f>
        <v/>
      </c>
      <c r="V334" s="5">
        <f>TRUE()</f>
        <v/>
      </c>
      <c r="W334" s="5" t="inlineStr">
        <is>
          <t>MSNVQGYFDPRFERVRELFAEQQQDEQARGAALCVTVGGDTVLDLWQGVTDKENQQVWEQDTLVNVFSCTKPLGAVALLQQVAAGRIELDAPLAEVWPEFAQAGKQDITLRQVLSHRSGLSAIAKALPPEALFDWSTMSAALAEQAPWWEPGTAHGYAPVTYAWLLGEPLSRLTNESPGNYIQQHICAPLGMDFHVGVPDKDLARIAHVSRLRNQSGDEGARKLFAAMGEPEGLTAKAFGNPVSMMTSTNKREWQQAEILSANGTGNARSLARFWQLLAHGGELDGVKLLDSELVSLMQQEHSQGQDRTLLCPTRFGLGVMLEQDAPGGGFGMGPQAFGHPGAGGSLGFCDPEAKVGFGYVTNTMGPYVLMDPRALALSQAVHDCLRELD</t>
        </is>
      </c>
      <c r="X334" s="5" t="n">
        <v>1</v>
      </c>
      <c r="Y334" s="5" t="inlineStr">
        <is>
          <t>MGS0105</t>
        </is>
      </c>
      <c r="Z334" s="5" t="inlineStr">
        <is>
          <t>AGT96414.1</t>
        </is>
      </c>
      <c r="AA334" s="5" t="inlineStr">
        <is>
          <t>Direct</t>
        </is>
      </c>
      <c r="AB334" s="5" t="n">
        <v>84</v>
      </c>
      <c r="AC334" s="5" t="inlineStr">
        <is>
          <t>10.1007/s00253-014-6038-3</t>
        </is>
      </c>
      <c r="AD334" s="5" t="inlineStr">
        <is>
          <t>MSNVQGYFDPRFERVRELFAEQQQDEQARGAALCVTVGGDTVLDLWQGVTDKENQQVWEQDTLVNVFSCTKPLGAVALLQQVAAGRIELDAPLAEVWPEFAQAGKQDITLRQVLSHRSGLSAIAKALPPEALFDWSTMSAALAEQAPWWEPGTAHGYAPVTYAWLLGEPLSRLTNESPGNYIQQHICAPLGMDFHVGVPDKDLARIAHVSRLRNQSGDEGARKLFAAMGEPEGLTAKAFGNPVSMMTSTNKREWQQAEILSANGTGNARSLARFWQLLAHGGELDGVKLLDSELVSLMQQEHSQGQDRTLLCPTRFGLGVMLEQDAPGGGFGMGPQAFGHPGAGGSLGFCDPEAKVGFGYVTNTMGPYVLMDPRALALSQAVHDCLRELD</t>
        </is>
      </c>
      <c r="AE334" s="5" t="inlineStr">
        <is>
          <t>Marine metagenome</t>
        </is>
      </c>
      <c r="AF334" s="5" t="n"/>
      <c r="AG334" s="5" t="inlineStr">
        <is>
          <t>supp_unavailable</t>
        </is>
      </c>
      <c r="AH334" s="5" t="inlineStr">
        <is>
          <t>ncbi</t>
        </is>
      </c>
      <c r="AI334" s="5" t="n"/>
      <c r="AJ334" s="5" t="n"/>
      <c r="AK334" s="5" t="n"/>
      <c r="AL334" s="5" t="n">
        <v>1</v>
      </c>
    </row>
    <row r="335" ht="15" customHeight="1" s="12">
      <c r="A335" s="5" t="inlineStr">
        <is>
          <t>both</t>
        </is>
      </c>
      <c r="B335" s="5" t="inlineStr">
        <is>
          <t>MSMSIFDYKTALGGDGKALYSEAITLALYASTPTGEALPGTAWRPISVSQLGYQGNVSAQGTISGEQAIVSDAQSRCWANTTRPGSCCPSASSFRGTRQPQGRYQRLAGGLRVGLLPTTTSRLAFDNLLGKVAAFAAAQGLSGSDVLVTGHSLGGLGGQPRGGHEQRSLGRLLPGRQLLGFASPTQSANSSQVLNIGYETTRCSAPWTALISTALSLGTHWQAPGVATNNIVSFTDHYSSFLGEVDSPEHPQSAVLVGPQCGGLRRGLNRLINSDFYDLTSRDSTVVISNLSEGKRDQVWVKDLNLYAEKHTGSTFIIGTQSNDLLHGGKGNDYLDGGAGDDRFRDDGGYNIIHGGQGHNVLELQQPLKNFSIANDGDGTLYIRDAYGGISMTRDVGALVSHETGSWWQLFGKDVSHSVTADGLQNGNQWTAYNHSLNGDAYGNALVASVDGDWLFGHGGDDLLSSDKANVTFVGGTGNDVMHSSGGGGNTFLFSGNFGFDLIHGYQNTDKLVFMGVPGVDAHYDYSQHLSQNGNDTLVQVFGEFLRVNPWWGSAWTSLSGSGLVFA</t>
        </is>
      </c>
      <c r="C335" s="5" t="n">
        <v>162</v>
      </c>
      <c r="D335" s="5" t="inlineStr">
        <is>
          <t>AAF01331.1</t>
        </is>
      </c>
      <c r="E335" s="5" t="n">
        <v>4</v>
      </c>
      <c r="F335" s="5" t="inlineStr">
        <is>
          <t>Pue</t>
        </is>
      </c>
      <c r="G335" s="5" t="inlineStr">
        <is>
          <t>Alpha/Beta Hydrolase</t>
        </is>
      </c>
      <c r="H335" s="5" t="inlineStr">
        <is>
          <t>3.40.50.1820</t>
        </is>
      </c>
      <c r="I335" s="5" t="inlineStr">
        <is>
          <t>Bacteria</t>
        </is>
      </c>
      <c r="J335" s="5" t="inlineStr">
        <is>
          <t>Pseudomonas chloroaphis</t>
        </is>
      </c>
      <c r="K335" s="5" t="inlineStr">
        <is>
          <t>PueB</t>
        </is>
      </c>
      <c r="L335" s="5" t="inlineStr">
        <is>
          <t>PUR</t>
        </is>
      </c>
      <c r="M335" s="5" t="inlineStr">
        <is>
          <t>-</t>
        </is>
      </c>
      <c r="N335" s="5" t="inlineStr">
        <is>
          <t>Howard, 1999; Ruiz, 1999; Howard, 2001; Howard, 2007; Stern, 2000</t>
        </is>
      </c>
      <c r="O335" s="5" t="inlineStr">
        <is>
          <t>AAF01331.1</t>
        </is>
      </c>
      <c r="P335" s="5" t="inlineStr">
        <is>
          <t>AAF01331.1</t>
        </is>
      </c>
      <c r="Q335" s="5" t="inlineStr">
        <is>
          <t>-</t>
        </is>
      </c>
      <c r="R335" s="5" t="inlineStr">
        <is>
          <t>Q9R9H2</t>
        </is>
      </c>
      <c r="S335" s="5" t="inlineStr">
        <is>
          <t>polyurethanase esterase B</t>
        </is>
      </c>
      <c r="T335" s="5" t="inlineStr">
        <is>
          <t>Pseudomonas chlororaphis</t>
        </is>
      </c>
      <c r="U335" s="5">
        <f>FALSE()</f>
        <v/>
      </c>
      <c r="V335" s="5">
        <f>TRUE()</f>
        <v/>
      </c>
      <c r="W335" s="5" t="inlineStr">
        <is>
          <t>MSMSIFDYKTALGGDGKALYSEAITLALYASTPTGEALPGTAWRPISVSQLGYQGNVSAQGTISGEQAIVSDAQSRCWANTTRPGSCCPSASSFRGTRQPQGRYQRLAGGLRVGLLPTTTSRLAFDNLLGKVAAFAAAQGLSGSDVLVTGHSLGGLGGQPRGGHEQRSLGRLLPGRQLLGFASPTQSANSSQVLNIGYETTRCSAPWTALISTALSLGTHWQAPGVATNNIVSFTDHYSSFLGEVDSPEHPQSAVLVGPQCGGLRRGLNRLINSDFYDLTSRDSTVVISNLSEGKRDQVWVKDLNLYAEKHTGSTFIIGTQSNDLLHGGKGNDYLDGGAGDDRFRDDGGYNIIHGGQGHNVLELQQPLKNFSIANDGDGTLYIRDAYGGISMTRDVGALVSHETGSWWQLFGKDVSHSVTADGLQNGNQWTAYNHSLNGDAYGNALVASVDGDWLFGHGGDDLLSSDKANVTFVGGTGNDVMHSSGGGGNTFLFSGNFGFDLIHGYQNTDKLVFMGVPGVDAHYDYSQHLSQNGNDTLVQVFGEFLRVNPWWGSAWTSLSGSGLVFA</t>
        </is>
      </c>
      <c r="X335" s="5" t="n">
        <v>1</v>
      </c>
      <c r="Y335" s="5" t="inlineStr">
        <is>
          <t>LipasePueB</t>
        </is>
      </c>
      <c r="Z335" s="5" t="inlineStr">
        <is>
          <t>AAF01331.1</t>
        </is>
      </c>
      <c r="AA335" s="5" t="inlineStr">
        <is>
          <t>Direct</t>
        </is>
      </c>
      <c r="AB335" s="5" t="n">
        <v>48</v>
      </c>
      <c r="AC335" s="5" t="inlineStr">
        <is>
          <t>10.1016/S0964-8305(98)00057-2; 10.1016/S0964-8305(98)00067-5; 10.1111/j.1574-6968.2000.tb09056.x; 10.1016/S0964-8305(01)00042-7; 10.1111/j.1365-2672.2007.03447.x</t>
        </is>
      </c>
      <c r="AD335" s="5" t="inlineStr">
        <is>
          <t>MSMSIFDYKTALGGDGKALYSEAITLALYASTPTGEALPGTAWRPISVSQLGYQGNVSAQGTISGEQAIVSDAQSRCWANTTRPGSCCPSASSFRGTRQPQGRYQRLAGGLRVGLLPTTTSRLAFDNLLGKVAAFAAAQGLSGSDVLVTGHSLGGLGGQPRGGHEQRSLGRLLPGRQLLGFASPTQSANSSQVLNIGYETTRCSAPWTALISTALSLGTHWQAPGVATNNIVSFTDHYSSFLGEVDSPEHPQSAVLVGPQCGGLRRGLNRLINSDFYDLTSRDSTVVISNLSEGKRDQVWVKDLNLYAEKHTGSTFIIGTQSNDLLHGGKGNDYLDGGAGDDRFRDDGGYNIIHGGQGHNVLELQQPLKNFSIANDGDGTLYIRDAYGGISMTRDVGALVSHETGSWWQLFGKDVSHSVTADGLQNGNQWTAYNHSLNGDAYGNALVASVDGDWLFGHGGDDLLSSDKANVTFVGGTGNDVMHSSGGGGNTFLFSGNFGFDLIHGYQNTDKLVFMGVPGVDAHYDYSQHLSQNGNDTLVQVFGEFLRVNPWWGSAWTSLSGSGLVFA</t>
        </is>
      </c>
      <c r="AE335" s="5" t="inlineStr">
        <is>
          <t>Pseudomonas chlororaphis</t>
        </is>
      </c>
      <c r="AF335" s="5" t="n">
        <v>587753</v>
      </c>
      <c r="AG335" s="5" t="inlineStr">
        <is>
          <t>supp_unavailable</t>
        </is>
      </c>
      <c r="AH335" s="5" t="inlineStr">
        <is>
          <t>ncbi</t>
        </is>
      </c>
      <c r="AI335" s="5" t="n"/>
      <c r="AJ335" s="5" t="n"/>
      <c r="AK335" s="5" t="n"/>
      <c r="AL335" s="5" t="n">
        <v>1</v>
      </c>
    </row>
    <row r="336" ht="15" customHeight="1" s="12">
      <c r="A336" s="5" t="inlineStr">
        <is>
          <t>both</t>
        </is>
      </c>
      <c r="B336" s="5" t="inlineStr">
        <is>
          <t>MSNGYSACPAPYDHRGMRKHASLLAALPVLLAACGTTTSTLTTPAVTPQTLSGAATNPYERGPAPTTALLEAARGPYATASTTVPRSSVSDFGGATIYYPTSTADGTFGGVAISPGYTGTQASVAWLGPRLASHGFVVIVIDTLSRYDYPSSRGDQLRAALRYLTTSSAVRTRVDATRLAVMGHSMGGGGALEAAKDNPALKAAIPLTPWNTDKSWPELTTPTLIFGAQNDSVAPVSSHAIPFYTSLASTLPKAYLELRGASHGAPTSTNTTIAKYAVAWLKRFEDADRRYDPFLCPTPAVSTLLSDARSTCPFN</t>
        </is>
      </c>
      <c r="C336" s="5" t="n">
        <v>9</v>
      </c>
      <c r="D336" s="5" t="inlineStr">
        <is>
          <t>ADV66860.1</t>
        </is>
      </c>
      <c r="E336" s="5" t="n">
        <v>1</v>
      </c>
      <c r="F336" s="5" t="inlineStr">
        <is>
          <t>Ipet</t>
        </is>
      </c>
      <c r="G336" s="5" t="inlineStr">
        <is>
          <t>Alpha/Beta Hydrolase</t>
        </is>
      </c>
      <c r="H336" s="5" t="inlineStr">
        <is>
          <t>3.40.50.1820</t>
        </is>
      </c>
      <c r="I336" s="5" t="inlineStr">
        <is>
          <t>Bacteria</t>
        </is>
      </c>
      <c r="J336" s="5" t="inlineStr">
        <is>
          <t>Deinococcus maricopensis DSM 21211</t>
        </is>
      </c>
      <c r="K336" s="5" t="inlineStr">
        <is>
          <t>PET1; DmPETase</t>
        </is>
      </c>
      <c r="L336" s="5" t="inlineStr">
        <is>
          <t>PET</t>
        </is>
      </c>
      <c r="M336" s="5" t="inlineStr">
        <is>
          <t>-</t>
        </is>
      </c>
      <c r="N336" s="5" t="inlineStr">
        <is>
          <t>Danso et al., 2018; Makryniotis et al., 2023</t>
        </is>
      </c>
      <c r="O336" s="5" t="inlineStr">
        <is>
          <t>E8U721</t>
        </is>
      </c>
      <c r="P336" s="5" t="inlineStr">
        <is>
          <t>ADV66860.1</t>
        </is>
      </c>
      <c r="Q336" s="5" t="inlineStr">
        <is>
          <t>-</t>
        </is>
      </c>
      <c r="R336" s="5" t="inlineStr">
        <is>
          <t>E8U721</t>
        </is>
      </c>
      <c r="S336" s="5" t="inlineStr">
        <is>
          <t>Triacylglycerol lipase</t>
        </is>
      </c>
      <c r="T336" s="5" t="inlineStr">
        <is>
          <t>Deinococcus maricopensis DSM 21211</t>
        </is>
      </c>
      <c r="U336" s="5">
        <f>FALSE()</f>
        <v/>
      </c>
      <c r="V336" s="5">
        <f>TRUE()</f>
        <v/>
      </c>
      <c r="W336" s="5" t="inlineStr">
        <is>
          <t>MSNGYSACPAPYDHRGMRKHASLLAALPVLLAACGTTTSTLTTPAVTPQTLSGAATNPYERGPAPTTALLEAARGPYATASTTVPRSSVSDFGGATIYYPTSTADGTFGGVAISPGYTGTQASVAWLGPRLASHGFVVIVIDTLSRYDYPSSRGDQLRAALRYLTTSSAVRTRVDATRLAVMGHSMGGGGALEAAKDNPALKAAIPLTPWNTDKSWPELTTPTLIFGAQNDSVAPVSSHAIPFYTSLASTLPKAYLELRGASHGAPTSTNTTIAKYAVAWLKRFEDADRRYDPFLCPTPAVSTLLSDARSTCPFN</t>
        </is>
      </c>
      <c r="X336" s="5" t="n">
        <v>1</v>
      </c>
      <c r="Y336" s="5" t="inlineStr">
        <is>
          <t>PET1</t>
        </is>
      </c>
      <c r="Z336" s="5" t="inlineStr">
        <is>
          <t>ADV66860.1</t>
        </is>
      </c>
      <c r="AA336" s="5" t="inlineStr">
        <is>
          <t>Direct</t>
        </is>
      </c>
      <c r="AB336" s="5" t="n">
        <v>184</v>
      </c>
      <c r="AC336" s="5" t="inlineStr">
        <is>
          <t>10.1128/aem.02773-17; 10.1016/j.jhazmat.2023.131574</t>
        </is>
      </c>
      <c r="AD336" s="5" t="inlineStr">
        <is>
          <t>MSNGYSACPAPYDHRGMRKHASLLAALPVLLAACGTTTSTLTTPAVTPQTLSGAATNPYERGPAPTTALLEAARGPYATASTTVPRSSVSDFGGATIYYPTSTADGTFGGVAISPGYTGTQASVAWLGPRLASHGFVVIVIDTLSRYDYPSSRGDQLRAALRYLTTSSAVRTRVDATRLAVMGHSMGGGGALEAAKDNPALKAAIPLTPWNTDKSWPELTTPTLIFGAQNDSVAPVSSHAIPFYTSLASTLPKAYLELRGASHGAPTSTNTTIAKYAVAWLKRFEDADRRYDPFLCPTPAVSTLLSDARSTCPFN</t>
        </is>
      </c>
      <c r="AE336" s="5" t="inlineStr">
        <is>
          <t>Deinococcus maricopensis</t>
        </is>
      </c>
      <c r="AF336" s="5" t="n">
        <v>309887</v>
      </c>
      <c r="AG336" s="5" t="inlineStr">
        <is>
          <t>supp_unavailable</t>
        </is>
      </c>
      <c r="AH336" s="5" t="inlineStr">
        <is>
          <t>ncbi</t>
        </is>
      </c>
      <c r="AI336" s="5" t="n"/>
      <c r="AJ336" s="5" t="n"/>
      <c r="AK336" s="5" t="n"/>
      <c r="AL336" s="5" t="n">
        <v>1</v>
      </c>
    </row>
    <row r="337" ht="15" customHeight="1" s="12">
      <c r="A337" s="5" t="inlineStr">
        <is>
          <t>both</t>
        </is>
      </c>
      <c r="B337" s="5" t="inlineStr">
        <is>
          <t>MRPNRPFGHVRPPTAEQLQEYSARHHFDLDEELAAQLVPVVAEMVTAFDLIDELPQPPQPPTPYTDRDIGREPTGDEDPFNAFIRFCRVEGATEGPLSDLTAAIKDCIAIAGMPTTNGSRMLPTVIATEDAVVVERLLAAGATIVGKTNLEDMAMGIGEGSVYGPALNPNNPAHGTGGSSSGSGAAVAAGMVDFALGVDEAGSIRIPAAWCGLVGMKATHGLVPSYGLTYMDHTLDHIGPITRGVELNARVLEVLAGADWRDPQWVRNLPEPENYGSALGEGVSGLRFAVVEESLEPNGATPDVIAAFNQGLAALESAGATIERVSVPLWTAAWPIQSGVMAFNARAMADSAGVGYFHKGRVDVSTAVTTAAQSRTTHKDLAILSRLMLVIAEHLRDEYLGIHYAKAQNLRLELGKQIDAVLQDRAALLTPTTPTVANELLSGRQDTMSMIPRMTGNAILNTCPLDLTGHPALTVPTGAGEKGLPVGLQVIGRHFEESTLYRTGAVIEAAGLWELAAEPSAPVLR</t>
        </is>
      </c>
      <c r="C337" s="5" t="n">
        <v>181</v>
      </c>
      <c r="D337" s="5" t="inlineStr">
        <is>
          <t>AAK11724.1</t>
        </is>
      </c>
      <c r="E337" s="5" t="n">
        <v>10</v>
      </c>
      <c r="F337" s="5" t="inlineStr">
        <is>
          <t>NylA</t>
        </is>
      </c>
      <c r="G337" s="5" t="inlineStr">
        <is>
          <t>Amidase signature</t>
        </is>
      </c>
      <c r="H337" s="5" t="inlineStr">
        <is>
          <t>3.90.1300.10</t>
        </is>
      </c>
      <c r="I337" s="5" t="inlineStr">
        <is>
          <t>Bacteria</t>
        </is>
      </c>
      <c r="J337" s="5" t="inlineStr">
        <is>
          <t>Rhodococcus erythropolis MP50</t>
        </is>
      </c>
      <c r="K337" s="5" t="inlineStr">
        <is>
          <t>PURase</t>
        </is>
      </c>
      <c r="L337" s="5" t="inlineStr">
        <is>
          <t>PUR</t>
        </is>
      </c>
      <c r="M337" s="5" t="inlineStr">
        <is>
          <t>-</t>
        </is>
      </c>
      <c r="N337" s="5" t="inlineStr">
        <is>
          <t>Kang, 2021;</t>
        </is>
      </c>
      <c r="O337" s="5" t="inlineStr">
        <is>
          <t>AY026386</t>
        </is>
      </c>
      <c r="P337" s="5" t="inlineStr">
        <is>
          <t>-</t>
        </is>
      </c>
      <c r="Q337" s="5" t="inlineStr">
        <is>
          <t>-</t>
        </is>
      </c>
      <c r="R337" s="5" t="inlineStr">
        <is>
          <t>Q8KRD8</t>
        </is>
      </c>
      <c r="S337" s="5" t="inlineStr">
        <is>
          <t>enantioselective amidase</t>
        </is>
      </c>
      <c r="T337" s="5" t="inlineStr">
        <is>
          <t>Rhodococcus erythropolis</t>
        </is>
      </c>
      <c r="U337" s="5">
        <f>FALSE()</f>
        <v/>
      </c>
      <c r="V337" s="5">
        <f>TRUE()</f>
        <v/>
      </c>
      <c r="W337" s="5" t="inlineStr">
        <is>
          <t>MRPNRPFGHVRPPTAEQLQEYSARHHFDLDEELAAQLVPVVAEMVTAFDLIDELPQPPQPPTPYTDRDIGREPTGDEDPFNAFIRFCRVEGATEGPLSDLTAAIKDCIAIAGMPTTNGSRMLPTVIATEDAVVVERLLAAGATIVGKTNLEDMAMGIGEGSVYGPALNPNNPAHGTGGSSSGSGAAVAAGMVDFALGVDEAGSIRIPAAWCGLVGMKATHGLVPSYGLTYMDHTLDHIGPITRGVELNARVLEVLAGADWRDPQWVRNLPEPENYGSALGEGVSGLRFAVVEESLEPNGATPDVIAAFNQGLAALESAGATIERVSVPLWTAAWPIQSGVMAFNARAMADSAGVGYFHKGRVDVSTAVTTAAQSRTTHKDLAILSRLMLVIAEHLRDEYLGIHYAKAQNLRLELGKQIDAVLQDRAALLTPTTPTVANELLSGRQDTMSMIPRMTGNAILNTCPLDLTGHPALTVPTGAGEKGLPVGLQVIGRHFEESTLYRTGAVIEAAGLWELAAEPSAPVLR</t>
        </is>
      </c>
      <c r="X337" s="5" t="n">
        <v>1</v>
      </c>
      <c r="Y337" s="5" t="inlineStr">
        <is>
          <t>Amidase</t>
        </is>
      </c>
      <c r="Z337" s="5" t="inlineStr">
        <is>
          <t>AAK11724.1</t>
        </is>
      </c>
      <c r="AA337" s="5" t="inlineStr">
        <is>
          <t>Indirect</t>
        </is>
      </c>
      <c r="AB337" s="5" t="n">
        <v>160</v>
      </c>
      <c r="AC337" s="5" t="inlineStr">
        <is>
          <t>10.1016/j.jbiosc.2021.05.003</t>
        </is>
      </c>
      <c r="AD337" s="5" t="inlineStr">
        <is>
          <t>MRPNRPFGHVRPPTAEQLQEYSARHHFDLDEELAAQLVPVVAEMVTAFDLIDELPQPPQPPTPYTDRDIGREPTGDEDPFNAFIRFCRVEGATEGPLSDLTAAIKDCIAIAGMPTTNGSRMLPTVIATEDAVVVERLLAAGATIVGKTNLEDMAMGIGEGSVYGPALNPNNPAHGTGGSSSGSGAAVAAGMVDFALGVDEAGSIRIPAAWCGLVGMKATHGLVPSYGLTYMDHTLDHIGPITRGVELNARVLEVLAGADWRDPQWVRNLPEPENYGSALGEGVSGLRFAVVEESLEPNGATPDVIAAFNQGLAALESAGATIERVSVPLWTAAWPIQSGVMAFNARAMADSAGVGYFHKGRVDVSTAVTTAAQSRTTHKDLAILSRLMLVIAEHLRDEYLGIHYAKAQNLRLELGKQIDAVLQDRAALLTPTTPTVANELLSGRQDTMSMIPRMTGNAILNTCPLDLTGHPALTVPTGAGEKGLPVGLQVIGRHFEESTLYRTGAVIEAAGLWELAAEPSAPVLR</t>
        </is>
      </c>
      <c r="AE337" s="5" t="inlineStr">
        <is>
          <t>Rhodococcus erythropolis</t>
        </is>
      </c>
      <c r="AF337" s="5" t="n">
        <v>1833</v>
      </c>
      <c r="AG337" s="5" t="inlineStr">
        <is>
          <t>supp_unavailable</t>
        </is>
      </c>
      <c r="AH337" s="5" t="inlineStr">
        <is>
          <t>ncbi</t>
        </is>
      </c>
      <c r="AI337" s="5" t="n"/>
      <c r="AJ337" s="5" t="n"/>
      <c r="AK337" s="5" t="n"/>
      <c r="AL337" s="5" t="n">
        <v>1</v>
      </c>
    </row>
    <row r="338" ht="15" customHeight="1" s="12">
      <c r="A338" s="5" t="inlineStr">
        <is>
          <t>both</t>
        </is>
      </c>
      <c r="B338" s="5" t="inlineStr">
        <is>
          <t>MSLGPELATKEQIREIAADYGLPMTDEEVADHIELLKGAIASYRELEHIPERKLPVKYPRTPGWRPTTQENPLNGWYWRCEIEGAKEGPLKGDRIAIKDVVCVAGVPMMNGSKLLEGYVPEIDATIVTRMLDAGATIVGKSACEDFSFSAGGMTCSTGPVGNPYDPTRNPGASSNGSAVLISTGQVDLAIGGDQGGSIRLPSAWCGVYGLKPTYGLVPYTGCAMIEGTLDHVGPMASSPKGIAKLLSVIAGYDADDPRQQGRIVPGFDTNYLPALERGVKGMKIAILKEGFGHDGSDGMLASDPLVDDCVRSAMETFRGLGAEVAEVSIPEHLTAWHIWTAIGLEGFTAFGVNGNGVGTNWNGWYNTSMAEYLARAMKSRPYDMPATVRSVLIRGEYFRRYYHNRYYGKAQNQRHLINEAYDRVLSEYDIIVCPTIPGLPTKMVDRDAGTLDTVVNQLNQLRNTAVCDLTGHPSMSVPCGLREGLPVGMMLTAKHFDDATLIAAAAAFEAAGDWRKM</t>
        </is>
      </c>
      <c r="C338" s="5" t="n">
        <v>182</v>
      </c>
      <c r="D338" s="5" t="inlineStr">
        <is>
          <t>AAK28498.1</t>
        </is>
      </c>
      <c r="E338" s="5" t="n">
        <v>10</v>
      </c>
      <c r="F338" s="5" t="inlineStr">
        <is>
          <t>NylA</t>
        </is>
      </c>
      <c r="G338" s="5" t="inlineStr">
        <is>
          <t>Amidase signature</t>
        </is>
      </c>
      <c r="H338" s="5" t="inlineStr">
        <is>
          <t>3.90.1300.10</t>
        </is>
      </c>
      <c r="I338" s="5" t="inlineStr">
        <is>
          <t>Bacteria</t>
        </is>
      </c>
      <c r="J338" s="5" t="inlineStr">
        <is>
          <t>Agrobacterium tumefaciens d3</t>
        </is>
      </c>
      <c r="K338" s="5" t="inlineStr">
        <is>
          <t>AmdA</t>
        </is>
      </c>
      <c r="L338" s="5" t="inlineStr">
        <is>
          <t>PUR</t>
        </is>
      </c>
      <c r="M338" s="5" t="inlineStr">
        <is>
          <t>-</t>
        </is>
      </c>
      <c r="N338" s="5" t="inlineStr">
        <is>
          <t>Kang, 2021; Trott, 2001</t>
        </is>
      </c>
      <c r="O338" s="5" t="inlineStr">
        <is>
          <t>AAK28498.1</t>
        </is>
      </c>
      <c r="P338" s="5" t="inlineStr">
        <is>
          <t>AAK28498.1</t>
        </is>
      </c>
      <c r="Q338" s="5" t="inlineStr">
        <is>
          <t>-</t>
        </is>
      </c>
      <c r="R338" s="5" t="inlineStr">
        <is>
          <t>Q9AHE8</t>
        </is>
      </c>
      <c r="S338" s="5" t="inlineStr">
        <is>
          <t>enantioselective amidase</t>
        </is>
      </c>
      <c r="T338" s="5" t="inlineStr">
        <is>
          <t>Agrobacterium tumefaciens</t>
        </is>
      </c>
      <c r="U338" s="5">
        <f>FALSE()</f>
        <v/>
      </c>
      <c r="V338" s="5">
        <f>TRUE()</f>
        <v/>
      </c>
      <c r="W338" s="5" t="inlineStr">
        <is>
          <t>MSLGPELATKEQIREIAADYGLPMTDEEVADHIELLKGAIASYRELEHIPERKLPVKYPRTPGWRPTTQENPLNGWYWRCEIEGAKEGPLKGDRIAIKDVVCVAGVPMMNGSKLLEGYVPEIDATIVTRMLDAGATIVGKSACEDFSFSAGGMTCSTGPVGNPYDPTRNPGASSNGSAVLISTGQVDLAIGGDQGGSIRLPSAWCGVYGLKPTYGLVPYTGCAMIEGTLDHVGPMASSPKGIAKLLSVIAGYDADDPRQQGRIVPGFDTNYLPALERGVKGMKIAILKEGFGHDGSDGMLASDPLVDDCVRSAMETFRGLGAEVAEVSIPEHLTAWHIWTAIGLEGFTAFGVNGNGVGTNWNGWYNTSMAEYLARAMKSRPYDMPATVRSVLIRGEYFRRYYHNRYYGKAQNQRHLINEAYDRVLSEYDIIVCPTIPGLPTKMVDRDAGTLDTVVNQLNQLRNTAVCDLTGHPSMSVPCGLREGLPVGMMLTAKHFDDATLIAAAAAFEAAGDWRKM</t>
        </is>
      </c>
      <c r="X338" s="5" t="n">
        <v>1</v>
      </c>
      <c r="Y338" s="5" t="inlineStr">
        <is>
          <t>AmdA</t>
        </is>
      </c>
      <c r="Z338" s="5" t="inlineStr">
        <is>
          <t>AAK28498.1</t>
        </is>
      </c>
      <c r="AA338" s="5" t="inlineStr">
        <is>
          <t>Direct</t>
        </is>
      </c>
      <c r="AB338" s="5" t="n">
        <v>162</v>
      </c>
      <c r="AC338" s="5" t="inlineStr">
        <is>
          <t>10.1016/j.jbiosc.2021.05.003</t>
        </is>
      </c>
      <c r="AD338" s="5" t="inlineStr">
        <is>
          <t>MSLGPELATKEQIREIAADYGLPMTDEEVADHIELLKGAIASYRELEHIPERKLPVKYPRTPGWRPTTQENPLNGWYWRCEIEGAKEGPLKGDRIAIKDVVCVAGVPMMNGSKLLEGYVPEIDATIVTRMLDAGATIVGKSACEDFSFSAGGMTCSTGPVGNPYDPTRNPGASSNGSAVLISTGQVDLAIGGDQGGSIRLPSAWCGVYGLKPTYGLVPYTGCAMIEGTLDHVGPMASSPKGIAKLLSVIAGYDADDPRQQGRIVPGFDTNYLPALERGVKGMKIAILKEGFGHDGSDGMLASDPLVDDCVRSAMETFRGLGAEVAEVSIPEHLTAWHIWTAIGLEGFTAFGVNGNGVGTNWNGWYNTSMAEYLARAMKSRPYDMPATVRSVLIRGEYFRRYYHNRYYGKAQNQRHLINEAYDRVLSEYDIIVCPTIPGLPTKMVDRDAGTLDTVVNQLNQLRNTAVCDLTGHPSMSVPCGLREGLPVGMMLTAKHFDDATLIAAAAAFEAAGDWRKM</t>
        </is>
      </c>
      <c r="AE338" s="5" t="inlineStr">
        <is>
          <t>Agrobacterium tumefaciens</t>
        </is>
      </c>
      <c r="AF338" s="5" t="n">
        <v>358</v>
      </c>
      <c r="AG338" s="5" t="inlineStr">
        <is>
          <t>acc_in_maintext</t>
        </is>
      </c>
      <c r="AH338" s="5" t="inlineStr">
        <is>
          <t>ncbi</t>
        </is>
      </c>
      <c r="AI338" s="5" t="n"/>
      <c r="AJ338" s="5" t="n"/>
      <c r="AK338" s="5" t="n"/>
      <c r="AL338" s="5" t="n">
        <v>1</v>
      </c>
    </row>
    <row r="339" ht="15" customHeight="1" s="12">
      <c r="A339" s="5" t="inlineStr">
        <is>
          <t>both</t>
        </is>
      </c>
      <c r="B339" s="5" t="inlineStr">
        <is>
          <t>MSLRKSFGLLSATAALVAGLVAAPPAQA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C339" s="5" t="n">
        <v>6</v>
      </c>
      <c r="D339" s="5" t="inlineStr">
        <is>
          <t>ACY96861.1</t>
        </is>
      </c>
      <c r="E339" s="5" t="n">
        <v>1</v>
      </c>
      <c r="F339" s="5" t="inlineStr">
        <is>
          <t>Ipet</t>
        </is>
      </c>
      <c r="G339" s="5" t="inlineStr">
        <is>
          <t>Alpha/Beta Hydrolase</t>
        </is>
      </c>
      <c r="H339" s="5" t="inlineStr">
        <is>
          <t>3.40.50.1820</t>
        </is>
      </c>
      <c r="I339" s="5" t="inlineStr">
        <is>
          <t>Bacteria</t>
        </is>
      </c>
      <c r="J339" s="5" t="inlineStr">
        <is>
          <t>Thermobifida curvata DSM43183</t>
        </is>
      </c>
      <c r="K339" s="5" t="inlineStr">
        <is>
          <t>Tcur_1278</t>
        </is>
      </c>
      <c r="L339" s="5" t="inlineStr">
        <is>
          <t>PET; PUR</t>
        </is>
      </c>
      <c r="M339" s="5" t="inlineStr">
        <is>
          <t>EC 3.1.1.74</t>
        </is>
      </c>
      <c r="N339" s="5" t="inlineStr">
        <is>
          <t>Wei, 2014, Schmidt, 2017</t>
        </is>
      </c>
      <c r="O339" s="5" t="inlineStr">
        <is>
          <t>D1A9G5</t>
        </is>
      </c>
      <c r="P339" s="5" t="inlineStr">
        <is>
          <t>ACY96861.1</t>
        </is>
      </c>
      <c r="Q339" s="5" t="inlineStr">
        <is>
          <t>-</t>
        </is>
      </c>
      <c r="R339" s="5" t="inlineStr">
        <is>
          <t>D1A9G5</t>
        </is>
      </c>
      <c r="S339" s="5" t="inlineStr">
        <is>
          <t>Triacylglycerol lipase</t>
        </is>
      </c>
      <c r="T339" s="5" t="inlineStr">
        <is>
          <t>Thermomonospora curvata DSM 43183</t>
        </is>
      </c>
      <c r="U339" s="5">
        <f>FALSE()</f>
        <v/>
      </c>
      <c r="V339" s="5">
        <f>TRUE()</f>
        <v/>
      </c>
      <c r="W339" s="5" t="inlineStr">
        <is>
          <t>MSLRKSFGLLSATAALVAGLVAAPPAQA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X339" s="5" t="n">
        <v>1</v>
      </c>
      <c r="Y339" s="5" t="inlineStr">
        <is>
          <t>Tcur_1278</t>
        </is>
      </c>
      <c r="Z339" s="5" t="inlineStr">
        <is>
          <t>WP_012851645.1</t>
        </is>
      </c>
      <c r="AA339" s="5" t="inlineStr">
        <is>
          <t>Direct</t>
        </is>
      </c>
      <c r="AB339" s="5" t="n">
        <v>30</v>
      </c>
      <c r="AC339" s="5" t="inlineStr">
        <is>
          <t>10.1186/s13568-014-0044-9</t>
        </is>
      </c>
      <c r="AD339" s="5" t="inlineStr">
        <is>
          <t>MSLRKSFGLLSATAALVAGLVAAPPAQA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AE339" s="5" t="inlineStr">
        <is>
          <t>Thermomonospora curvata</t>
        </is>
      </c>
      <c r="AF339" s="5" t="n">
        <v>2020</v>
      </c>
      <c r="AG339" s="5" t="inlineStr">
        <is>
          <t>supp_unavailable</t>
        </is>
      </c>
      <c r="AH339" s="5" t="inlineStr">
        <is>
          <t>ncbi</t>
        </is>
      </c>
      <c r="AI339" s="5" t="n"/>
      <c r="AJ339" s="5" t="n"/>
      <c r="AK339" s="5" t="n"/>
      <c r="AL339" s="5" t="n">
        <v>1</v>
      </c>
    </row>
    <row r="340" ht="15" customHeight="1" s="12">
      <c r="A340" s="5" t="inlineStr">
        <is>
          <t>both</t>
        </is>
      </c>
      <c r="B340" s="5" t="inlineStr">
        <is>
          <t>MRNTLKAAFKLGVISAALLAPFATQAATAGPGAWSSQQTWAADSVNGGNLTGFYYWPATQPVHANGKRALVLVLHGCAQTASGDVINNGDNGYNWKAAADQYGAVILAPNATGNVSSQHCWDYSRTSHSRSTGHEYVLLDLINRFKNDPQYEIDPNQVYVTGLSSGGGETIVLGCIAPDVFAGWASNAGPTPGTTTLQIGAVPSGYTATNAKNNCLSLAGSNSSYFSTQIAGVVWGTSDFTVAPGYNPLMMDAMRQIYGGTFTKQASTSVATGGTNTTYKDSSGRVRTHELSVSGMSHAWPAGTGGQNTNYVTSQYVNYPLFVMDYFFTNNSRAGSGGGTTTTTAGGTTTTTAAGTTTTAATTTTTASSTTTTVAATCYTSSNYAHVTAGRAHNSSGYALANGSNQNMGLNNTFYTSTLKQTSPGYYVIGTCP</t>
        </is>
      </c>
      <c r="C340" s="5" t="n">
        <v>127</v>
      </c>
      <c r="D340" s="5" t="inlineStr">
        <is>
          <t>Q51871</t>
        </is>
      </c>
      <c r="E340" s="5" t="n">
        <v>30</v>
      </c>
      <c r="F340" s="5" t="inlineStr">
        <is>
          <t>Ipet</t>
        </is>
      </c>
      <c r="G340" s="5" t="inlineStr">
        <is>
          <t>Alpha/Beta Hydrolase</t>
        </is>
      </c>
      <c r="H340" s="5" t="inlineStr">
        <is>
          <t>3.40.50.1820</t>
        </is>
      </c>
      <c r="I340" s="5" t="inlineStr">
        <is>
          <t>Bacteria</t>
        </is>
      </c>
      <c r="J340" s="5" t="inlineStr">
        <is>
          <t>Paucimonas lemoignei</t>
        </is>
      </c>
      <c r="K340" s="5" t="inlineStr">
        <is>
          <t>PhaZ5</t>
        </is>
      </c>
      <c r="L340" s="5" t="inlineStr">
        <is>
          <t>PHA</t>
        </is>
      </c>
      <c r="M340" s="5" t="inlineStr">
        <is>
          <t>-</t>
        </is>
      </c>
      <c r="N340" s="5" t="inlineStr">
        <is>
          <t>Braaz, 2002</t>
        </is>
      </c>
      <c r="O340" s="5" t="inlineStr">
        <is>
          <t>Q51871</t>
        </is>
      </c>
      <c r="P340" s="5" t="inlineStr">
        <is>
          <t>Q51871</t>
        </is>
      </c>
      <c r="Q340" s="5" t="inlineStr">
        <is>
          <t>-</t>
        </is>
      </c>
      <c r="R340" s="5" t="inlineStr">
        <is>
          <t>Q51871</t>
        </is>
      </c>
      <c r="S340" s="5" t="inlineStr">
        <is>
          <t>Poly(3-hydroxybutyrate) depolymerase A</t>
        </is>
      </c>
      <c r="T340" s="5" t="inlineStr">
        <is>
          <t>Paucimonas lemoignei</t>
        </is>
      </c>
      <c r="U340" s="5">
        <f>FALSE()</f>
        <v/>
      </c>
      <c r="V340" s="5">
        <f>TRUE()</f>
        <v/>
      </c>
      <c r="W340" s="5" t="inlineStr">
        <is>
          <t>MRNTLKAAFKLGVISAALLAPFATQAATAGPGAWSSQQTWAADSVNGGNLTGFYYWPATQPVHANGKRALVLVLHGCAQTASGDVINNGDNGYNWKAAADQYGAVILAPNATGNVSSQHCWDYSRTSHSRSTGHEYVLLDLINRFKNDPQYEIDPNQVYVTGLSSGGGETIVLGCIAPDVFAGWASNAGPTPGTTTLQIGAVPSGYTATNAKNNCLSLAGSNSSYFSTQIAGVVWGTSDFTVAPGYNPLMMDAMRQIYGGTFTKQASTSVATGGTNTTYKDSSGRVRTHELSVSGMSHAWPAGTGGQNTNYVTSQYVNYPLFVMDYFFTNNSRAGSGGGTTTTTAGGTTTTTAAGTTTTAATTTTTASSTTTTVAATCYTSSNYAHVTAGRAHNSSGYALANGSNQNMGLNNTFYTSTLKQTSPGYYVIGTCP</t>
        </is>
      </c>
      <c r="X340" s="5" t="n">
        <v>1</v>
      </c>
      <c r="Y340" s="5" t="inlineStr">
        <is>
          <t>PhaZ5</t>
        </is>
      </c>
      <c r="Z340" s="5" t="inlineStr">
        <is>
          <t>AAA65705.1</t>
        </is>
      </c>
      <c r="AA340" s="5" t="inlineStr">
        <is>
          <t>Direct</t>
        </is>
      </c>
      <c r="AB340" s="5" t="n">
        <v>111</v>
      </c>
      <c r="AC340" s="5" t="inlineStr">
        <is>
          <t>10.1111/j.1574-6968.2002.tb11137.x</t>
        </is>
      </c>
      <c r="AD340" s="5" t="inlineStr">
        <is>
          <t>MRNTLKAAFKLGVISAALLAPFATQAATAGPGAWSSQQTWAADSVNGGNLTGFYYWPATQPVHANGKRALVLVLHGCAQTASGDVINNGDNGYNWKAAADQYGAVILAPNATGNVSSQHCWDYSRTSHSRSTGHEYVLLDLINRFKNDPQYEIDPNQVYVTGLSSGGGETIVLGCIAPDVFAGWASNAGPTPGTTTLQIGAVPSGYTATNAKNNCLSLAGSNSSYFSTQIAGVVWGTSDFTVAPGYNPLMMDAMRQIYGGTFTKQASTSVATGGTNTTYKDSSGRVRTHELSVSGMSHAWPAGTGGQNTNYVTSQYVNYPLFVMDYFFTNNSRAGSGGGTTTTTAGGTTTTTAAGTTTTAATTTTTASSTTTTVAATCYTSSNYAHVTAGRAHNSSGYALANGSNQNMGLNNTFYTSTLKQTSPGYYVIGTCP</t>
        </is>
      </c>
      <c r="AE340" s="5" t="inlineStr">
        <is>
          <t>Paucimonas lemoignei</t>
        </is>
      </c>
      <c r="AF340" s="5" t="n">
        <v>29443</v>
      </c>
      <c r="AG340" s="5" t="inlineStr">
        <is>
          <t>supp_unavailable</t>
        </is>
      </c>
      <c r="AH340" s="5" t="inlineStr">
        <is>
          <t>ncbi</t>
        </is>
      </c>
      <c r="AI340" s="5" t="n"/>
      <c r="AJ340" s="5" t="n"/>
      <c r="AK340" s="5" t="n"/>
      <c r="AL340" s="5" t="n">
        <v>1</v>
      </c>
    </row>
    <row r="341" ht="15" customHeight="1" s="12">
      <c r="A341" s="5" t="inlineStr">
        <is>
          <t>both</t>
        </is>
      </c>
      <c r="B341" s="5" t="inlineStr">
        <is>
          <t>MSPSTLSTILLAACAALAAPGLAQAQYQKGPDPTASALERNGPFAIRSTSVSRTSVSGFGGGRLYYPTASGTYGAIAVSPGFTGTSSTMTFWGERLASHGFVVLVIDTITLYDQPDSRARQLKAALDYLATQNGRSSSPIYRKVDTSRRAVAGHSMGGGGSLLAARDNPSYKAAIPMAPWNTSSTAFRTVSVPTMIFGCQDDSIAPVFSHAIPFYNAIPNSTRKNYVEIRNDDHFCVMNGGGHDATLGKLGISWMKRFVDNDTRYSPFVCGAEYNRVVSSYEVSRSYNNCPY</t>
        </is>
      </c>
      <c r="C341" s="5" t="n">
        <v>70</v>
      </c>
      <c r="D341" s="5" t="inlineStr">
        <is>
          <t>WP_062195544.1</t>
        </is>
      </c>
      <c r="E341" s="5" t="n">
        <v>1</v>
      </c>
      <c r="F341" s="5" t="inlineStr">
        <is>
          <t>Ipet</t>
        </is>
      </c>
      <c r="G341" s="5" t="inlineStr">
        <is>
          <t>Alpha/Beta Hydrolase</t>
        </is>
      </c>
      <c r="H341" s="5" t="inlineStr">
        <is>
          <t>3.40.50.1820</t>
        </is>
      </c>
      <c r="I341" s="5" t="inlineStr">
        <is>
          <t>Bacteria</t>
        </is>
      </c>
      <c r="J341" s="5" t="inlineStr">
        <is>
          <t>Comamonadaceae bacterium</t>
        </is>
      </c>
      <c r="K341" s="5" t="inlineStr">
        <is>
          <t>Enzyme 406</t>
        </is>
      </c>
      <c r="L341" s="5" t="inlineStr">
        <is>
          <t>PET</t>
        </is>
      </c>
      <c r="M341" s="5" t="inlineStr">
        <is>
          <t>-</t>
        </is>
      </c>
      <c r="N341" s="5" t="inlineStr">
        <is>
          <t>Chen, 2021; Erickson, 2022</t>
        </is>
      </c>
      <c r="O341" s="5" t="inlineStr">
        <is>
          <t>WP_062195544.1</t>
        </is>
      </c>
      <c r="P341" s="5" t="inlineStr">
        <is>
          <t>WP_062195544.1</t>
        </is>
      </c>
      <c r="Q341" s="5" t="inlineStr">
        <is>
          <t>-</t>
        </is>
      </c>
      <c r="R341" s="5" t="inlineStr">
        <is>
          <t>-</t>
        </is>
      </c>
      <c r="S341" s="5" t="inlineStr">
        <is>
          <t>alpha/beta hydrolase-fold protein</t>
        </is>
      </c>
      <c r="T341" s="5" t="inlineStr">
        <is>
          <t>Caldimonas taiwanensis</t>
        </is>
      </c>
      <c r="U341" s="5">
        <f>FALSE()</f>
        <v/>
      </c>
      <c r="V341" s="5">
        <f>TRUE()</f>
        <v/>
      </c>
      <c r="W341" s="5" t="inlineStr">
        <is>
          <t>MSPSTLSTILLAACAALAAPGLAQAQYQKGPDPTASALERNGPFAIRSTSVSRTSVSGFGGGRLYYPTASGTYGAIAVSPGFTGTSSTMTFWGERLASHGFVVLVIDTITLYDQPDSRARQLKAALDYLATQNGRSSSPIYRKVDTSRRAVAGHSMGGGGSLLAARDNPSYKAAIPMAPWNTSSTAFRTVSVPTMIFGCQDDSIAPVFSHAIPFYNAIPNSTRKNYVEIRNDDHFCVMNGGGHDATLGKLGISWMKRFVDNDTRYSPFVCGAEYNRVVSSYEVSRSYNNCPY</t>
        </is>
      </c>
      <c r="X341" s="5" t="n">
        <v>1</v>
      </c>
      <c r="Y341" s="5" t="inlineStr">
        <is>
          <t>CtPl</t>
        </is>
      </c>
      <c r="Z341" s="5" t="inlineStr">
        <is>
          <t>WP_062195544.1</t>
        </is>
      </c>
      <c r="AA341" s="5" t="inlineStr">
        <is>
          <t>Direct</t>
        </is>
      </c>
      <c r="AB341" s="5" t="n">
        <v>148</v>
      </c>
      <c r="AC341" s="5" t="inlineStr">
        <is>
          <t>10.1038/s41929-021-00616-y; 10.1038/s41467-022-35237-x</t>
        </is>
      </c>
      <c r="AD341" s="5" t="inlineStr">
        <is>
          <t>MSPSTLSTILLAACAALAAPGLAQAQYQKGPDPTASALERNGPFAIRSTSVSRTSVSGFGGGRLYYPTASGTYGAIAVSPGFTGTSSTMTFWGERLASHGFVVLVIDTITLYDQPDSRARQLKAALDYLATQNGRSSSPIYRKVDTSRRAVAGHSMGGGGSLLAARDNPSYKAAIPMAPWNTSSTAFRTVSVPTMIFGCQDDSIAPVFSHAIPFYNAIPNSTRKNYVEIRNDDHFCVMNGGGHDATLGKLGISWMKRFVDNDTRYSPFVCGAEYNRVVSSYEVSRSYNNCPY</t>
        </is>
      </c>
      <c r="AE341" s="5" t="inlineStr">
        <is>
          <t>Caldimonas taiwanensis</t>
        </is>
      </c>
      <c r="AF341" s="5" t="n">
        <v>307483</v>
      </c>
      <c r="AG341" s="5" t="inlineStr">
        <is>
          <t>supp_unavailable</t>
        </is>
      </c>
      <c r="AH341" s="5" t="inlineStr">
        <is>
          <t>ncbi</t>
        </is>
      </c>
      <c r="AI341" s="5" t="n"/>
      <c r="AJ341" s="5" t="n"/>
      <c r="AK341" s="5" t="n"/>
      <c r="AL341" s="5" t="n">
        <v>1</v>
      </c>
    </row>
    <row r="342" ht="15" customHeight="1" s="12">
      <c r="A342" s="5" t="inlineStr">
        <is>
          <t>both</t>
        </is>
      </c>
      <c r="B342" s="5" t="inlineStr">
        <is>
          <t>QLGAIENGLESGSANACPDAILIFARGSTEPGNMGITVGPALANGLESHIRNIWIQGVGGPYDAALATNFLPRGTSQANIDEGKRLFALANQKCPNTPVVAGGYSQGAALIAAAVSELSGAVKEQVKGVALFGYTQNLQNRGGIPNYPRERTKVFCNVGDAVCTGTLIITPAHLSYTIEARGEAARFLRDRIRA</t>
        </is>
      </c>
      <c r="C342" s="5" t="n">
        <v>139</v>
      </c>
      <c r="D342" s="5" t="inlineStr">
        <is>
          <t>4OYY</t>
        </is>
      </c>
      <c r="E342" s="5" t="n">
        <v>2</v>
      </c>
      <c r="F342" s="5" t="inlineStr">
        <is>
          <t>Cut</t>
        </is>
      </c>
      <c r="G342" s="5" t="inlineStr">
        <is>
          <t>Alpha/Beta Hydrolase</t>
        </is>
      </c>
      <c r="H342" s="5" t="inlineStr">
        <is>
          <t>3.40.50.1820</t>
        </is>
      </c>
      <c r="I342" s="5" t="inlineStr">
        <is>
          <t>Eukarya</t>
        </is>
      </c>
      <c r="J342" s="5" t="inlineStr">
        <is>
          <t>Humicola insolens</t>
        </is>
      </c>
      <c r="K342" s="5" t="inlineStr">
        <is>
          <t>HiC</t>
        </is>
      </c>
      <c r="L342" s="5" t="inlineStr">
        <is>
          <t>PET; PBAT</t>
        </is>
      </c>
      <c r="M342" s="5" t="inlineStr">
        <is>
          <t>EC 3.1.1.74</t>
        </is>
      </c>
      <c r="N342" s="5" t="inlineStr">
        <is>
          <t>Ronkvist, 2009, Carniel, 2017; Brackmann, 2023; Perz, 2016</t>
        </is>
      </c>
      <c r="O342" s="5" t="inlineStr">
        <is>
          <t>A0A075B5G4</t>
        </is>
      </c>
      <c r="P342" s="5" t="inlineStr">
        <is>
          <t>4OYY</t>
        </is>
      </c>
      <c r="Q342" s="5" t="inlineStr">
        <is>
          <t>4OYL</t>
        </is>
      </c>
      <c r="R342" s="5" t="inlineStr">
        <is>
          <t>A0A075B5G4</t>
        </is>
      </c>
      <c r="S342" s="5" t="inlineStr">
        <is>
          <t>A Cutinase</t>
        </is>
      </c>
      <c r="T342" s="5" t="inlineStr">
        <is>
          <t>-</t>
        </is>
      </c>
      <c r="U342" s="5">
        <f>FALSE()</f>
        <v/>
      </c>
      <c r="V342" s="5">
        <f>TRUE()</f>
        <v/>
      </c>
      <c r="W342" s="5" t="inlineStr">
        <is>
          <t>QLGAIENGLESGSANACPDAILIFARGSTEPGNMGITVGPALANGLESHIRNIWIQGVGGPYDAALATNFLPRGTSQANIDEGKRLFALANQKCPNTPVVAGGYSQGAALIAAAVSELSGAVKEQVKGVALFGYTQNLQNRGGIPNYPRERTKVFCNVGDAVCTGTLIITPAHLSYTIEARGEAARFLRDRIRA</t>
        </is>
      </c>
      <c r="X342" s="5" t="n">
        <v>1</v>
      </c>
      <c r="Y342" s="5" t="inlineStr">
        <is>
          <t>HiC</t>
        </is>
      </c>
      <c r="Z342" s="5" t="inlineStr">
        <is>
          <t>A0A075B5G4</t>
        </is>
      </c>
      <c r="AA342" s="5" t="inlineStr">
        <is>
          <t>Direct</t>
        </is>
      </c>
      <c r="AB342" s="5" t="n">
        <v>44</v>
      </c>
      <c r="AC342" s="5" t="inlineStr">
        <is>
          <t>10.1021/ma9005318; 10.1016/j.nbt.2015.11.004; 10.1016/j.procbio.2016.07.023; 10.3390/catal7110318</t>
        </is>
      </c>
      <c r="AD342" s="5" t="inlineStr">
        <is>
          <t>QLGAIENGLESGSANACPDAILIFARGSTEPGNMGITVGPALANGLESHIRNIWIQGVGGPYDAALATNFLPRGTSQANIDEGKRLFALANQKCPNTPVVAGGYSQGAALIAAAVSELSGAVKEQVKGVALFGYTQNLQNRGGIPNYPRERTKVFCNVGDAVCTGTLIITPAHLSYTIEARGEAARFLRDRIRA</t>
        </is>
      </c>
      <c r="AE342" s="5" t="inlineStr">
        <is>
          <t>Mycothermus thermophilus</t>
        </is>
      </c>
      <c r="AF342" s="5" t="n">
        <v>85995</v>
      </c>
      <c r="AG342" s="5" t="inlineStr">
        <is>
          <t>supp_unavailable</t>
        </is>
      </c>
      <c r="AH342" s="5" t="inlineStr">
        <is>
          <t>uniprot</t>
        </is>
      </c>
      <c r="AI342" s="5" t="n"/>
      <c r="AJ342" s="5" t="n"/>
      <c r="AK342" s="5" t="n"/>
      <c r="AL342" s="5" t="n">
        <v>1</v>
      </c>
    </row>
    <row r="343" ht="15" customHeight="1" s="12">
      <c r="A343" s="5" t="inlineStr">
        <is>
          <t>both</t>
        </is>
      </c>
      <c r="B343" s="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C343" s="5" t="n">
        <v>188</v>
      </c>
      <c r="D343" s="5" t="inlineStr">
        <is>
          <t>P13398.2</t>
        </is>
      </c>
      <c r="E343" s="5" t="n">
        <v>10</v>
      </c>
      <c r="F343" s="5" t="inlineStr">
        <is>
          <t>NylA</t>
        </is>
      </c>
      <c r="G343" s="5" t="inlineStr">
        <is>
          <t>Amidase signature</t>
        </is>
      </c>
      <c r="H343" s="5" t="inlineStr">
        <is>
          <t>3.90.1300.10</t>
        </is>
      </c>
      <c r="I343" s="5" t="inlineStr">
        <is>
          <t>Bacteria</t>
        </is>
      </c>
      <c r="J343" s="5" t="inlineStr">
        <is>
          <t>Paenarthrobacter ureafaciens K172</t>
        </is>
      </c>
      <c r="K343" s="5" t="inlineStr">
        <is>
          <t>NylA</t>
        </is>
      </c>
      <c r="L343" s="5" t="inlineStr">
        <is>
          <t>PA</t>
        </is>
      </c>
      <c r="M343" s="5" t="inlineStr">
        <is>
          <t>-</t>
        </is>
      </c>
      <c r="N343" s="5" t="inlineStr">
        <is>
          <t>Kinoshita, 1975; Kinoshita, 1977; Yasuhira, 2010</t>
        </is>
      </c>
      <c r="O343" s="5" t="inlineStr">
        <is>
          <t>NYLA_FLASK</t>
        </is>
      </c>
      <c r="P343" s="5" t="inlineStr">
        <is>
          <t>P13398.2</t>
        </is>
      </c>
      <c r="Q343" s="5" t="inlineStr">
        <is>
          <t>3A2P</t>
        </is>
      </c>
      <c r="R343" s="5" t="inlineStr">
        <is>
          <t>NYLA_FLASK</t>
        </is>
      </c>
      <c r="S343" s="5" t="inlineStr">
        <is>
          <t>6-aminohexanoate-cyclic-dimer hydrolase</t>
        </is>
      </c>
      <c r="T343" s="5" t="inlineStr">
        <is>
          <t>-</t>
        </is>
      </c>
      <c r="U343" s="5">
        <f>FALSE()</f>
        <v/>
      </c>
      <c r="V343" s="5">
        <f>TRUE()</f>
        <v/>
      </c>
      <c r="W343" s="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X343" s="5" t="n">
        <v>1</v>
      </c>
      <c r="Y343" s="5" t="inlineStr">
        <is>
          <t>NylA</t>
        </is>
      </c>
      <c r="Z343" s="5" t="inlineStr">
        <is>
          <t>WP_012476897.1</t>
        </is>
      </c>
      <c r="AA343" s="5" t="inlineStr">
        <is>
          <t>Direct</t>
        </is>
      </c>
      <c r="AB343" s="5" t="n">
        <v>59</v>
      </c>
      <c r="AC343" s="5" t="inlineStr">
        <is>
          <t>10.1271/bbb1961.39.1219; 10.1111/j.1432-1033.1977.tb11904.x; 10.1074/jbc.M109.041285</t>
        </is>
      </c>
      <c r="AD343" s="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AE343" s="5" t="inlineStr">
        <is>
          <t>Paenarthrobacter ureafaciens</t>
        </is>
      </c>
      <c r="AF343" s="5" t="n">
        <v>37931</v>
      </c>
      <c r="AG343" s="5" t="inlineStr">
        <is>
          <t>supp_unavailable</t>
        </is>
      </c>
      <c r="AH343" s="5" t="inlineStr">
        <is>
          <t>ncbi</t>
        </is>
      </c>
      <c r="AI343" s="5" t="n"/>
      <c r="AJ343" s="5" t="n"/>
      <c r="AK343" s="5" t="n"/>
      <c r="AL343" s="5" t="n">
        <v>1</v>
      </c>
    </row>
    <row r="344" ht="15" customHeight="1" s="12">
      <c r="A344" s="5" t="inlineStr">
        <is>
          <t>both</t>
        </is>
      </c>
      <c r="B344" s="5" t="inlineStr">
        <is>
          <t>MTDINRRRLLLAGGALGAFGALGMASPARARSLWTWSPADSVAGSGAGVDPDWLWDDEVDAIIADVIERGQVPQVNDLLRDWVRNDQPLPAGLPSALRDWMEEARKLPSWADTAKLEDAVDFTRKKGLYTGALYGLGSGLLSTAIPREARAVYYSKGGADMKDRVAKTAQLGYDVGDRYAYKPEGGMIATSVRTRLVHAAVRHLLPQSPGWSRTSGGQTIPISQADMMVTWHSLPTYVMGKLRDWKVPITERESEGFLHVWQVSAHMLGIRDEYIPATWAAANAQSKQVLDPIVDHTPEGAALTDALLGIIAEVDAGLTEPLINAFSRYIVGDRVGDLIGLDREPILQPIVSSAWPLVVAFREGLIPLPGVPSIAWVLEEALRKFVLLFMSEGRPIHLEIPDANRSL</t>
        </is>
      </c>
      <c r="C344" s="5" t="n">
        <v>210</v>
      </c>
      <c r="D344" s="5" t="inlineStr">
        <is>
          <t>QZD35499.1</t>
        </is>
      </c>
      <c r="E344" s="5" t="n">
        <v>16</v>
      </c>
      <c r="F344" s="5" t="inlineStr">
        <is>
          <t>Lcp</t>
        </is>
      </c>
      <c r="G344" s="5" t="inlineStr">
        <is>
          <t>oxygenase-like</t>
        </is>
      </c>
      <c r="H344" s="5" t="n"/>
      <c r="I344" s="5" t="inlineStr">
        <is>
          <t>Bacteria</t>
        </is>
      </c>
      <c r="J344" s="5" t="inlineStr">
        <is>
          <t>Streptomyces sp. AC04842</t>
        </is>
      </c>
      <c r="K344" s="5" t="inlineStr">
        <is>
          <t>Lcp2</t>
        </is>
      </c>
      <c r="L344" s="5" t="inlineStr">
        <is>
          <t>NR</t>
        </is>
      </c>
      <c r="M344" s="5" t="inlineStr">
        <is>
          <t>-</t>
        </is>
      </c>
      <c r="N344" s="5" t="inlineStr">
        <is>
          <t>Basik, 2022</t>
        </is>
      </c>
      <c r="O344" s="5" t="inlineStr">
        <is>
          <t>MT664882</t>
        </is>
      </c>
      <c r="P344" s="5" t="inlineStr">
        <is>
          <t xml:space="preserve">QZD35499.1 </t>
        </is>
      </c>
      <c r="Q344" s="5" t="inlineStr">
        <is>
          <t>-</t>
        </is>
      </c>
      <c r="R344" s="5" t="inlineStr">
        <is>
          <t>A0A975YYR5</t>
        </is>
      </c>
      <c r="S344" s="5" t="inlineStr">
        <is>
          <t>latex clearing protein</t>
        </is>
      </c>
      <c r="T344" s="5" t="inlineStr">
        <is>
          <t>Streptomyces sp. AC04842</t>
        </is>
      </c>
      <c r="U344" s="5">
        <f>FALSE()</f>
        <v/>
      </c>
      <c r="V344" s="5">
        <f>TRUE()</f>
        <v/>
      </c>
      <c r="W344" s="5" t="inlineStr">
        <is>
          <t>MTDINRRRLLLAGGALGAFGALGMASPARARSLWTWSPADSVAGSGAGVDPDWLWDDEVDAIIADVIERGQVPQVNDLLRDWVRNDQPLPAGLPSALRDWMEEARKLPSWADTAKLEDAVDFTRKKGLYTGALYGLGSGLLSTAIPREARAVYYSKGGADMKDRVAKTAQLGYDVGDRYAYKPEGGMIATSVRTRLVHAAVRHLLPQSPGWSRTSGGQTIPISQADMMVTWHSLPTYVMGKLRDWKVPITERESEGFLHVWQVSAHMLGIRDEYIPATWAAANAQSKQVLDPIVDHTPEGAALTDALLGIIAEVDAGLTEPLINAFSRYIVGDRVGDLIGLDREPILQPIVSSAWPLVVAFREGLIPLPGVPSIAWVLEEALRKFVLLFMSEGRPIHLEIPDANRSL</t>
        </is>
      </c>
      <c r="X344" s="5" t="n">
        <v>1</v>
      </c>
      <c r="Y344" s="5" t="inlineStr">
        <is>
          <t>Lcp2</t>
        </is>
      </c>
      <c r="Z344" s="5" t="inlineStr">
        <is>
          <t>WP_254586337.1</t>
        </is>
      </c>
      <c r="AA344" s="5" t="inlineStr">
        <is>
          <t>Indirect</t>
        </is>
      </c>
      <c r="AB344" s="5" t="n">
        <v>128</v>
      </c>
      <c r="AC344" s="5" t="inlineStr">
        <is>
          <t>10.3389/fmicb.2022.854427</t>
        </is>
      </c>
      <c r="AD344" s="5" t="inlineStr">
        <is>
          <t>MTDINRRRLLLAGGALGAFGALGMASPARARSLWTWSPADSVAGSGAGVDPDWLWDDEVDAIIADVIERGQVPQVNDLLRDWVRNDQPLPAGLPSALRDWMEEARKLPSWADTAKLEDAVDFTRKKGLYTGALYGLGSGLLSTAIPREARAVYYSKGGADMKDRVAKTAQLGYDVGDRYAYKPEGGMIATSVRTRLVHAAVRHLLPQSPGWSRTSGGQTIPISQADMMVTWHSLPTYVMGKLRDWKVPITERESEGFLHVWQVSAHMLGIRDEYIPATWAAANAQSKQVLDPIVDHTPEGAALTDALLGIIAEVDAGLTEPLINAFSRYIVGDRVGDLIGLDREPILQPIVSSAWPLVVAFREGLIPLPGVPSIAWVLEEALRKFVLLFMSEGRPIHLEIPDANRSL</t>
        </is>
      </c>
      <c r="AE344" s="5" t="inlineStr">
        <is>
          <t>Streptomyces sp. AC04842</t>
        </is>
      </c>
      <c r="AF344" s="5" t="n">
        <v>2775327</v>
      </c>
      <c r="AG344" s="5" t="inlineStr">
        <is>
          <t>supp_unavailable</t>
        </is>
      </c>
      <c r="AH344" s="5" t="inlineStr">
        <is>
          <t>ncbi</t>
        </is>
      </c>
      <c r="AI344" s="5" t="n"/>
      <c r="AJ344" s="5" t="n"/>
      <c r="AK344" s="5" t="n"/>
      <c r="AL344" s="5" t="n">
        <v>1</v>
      </c>
    </row>
    <row r="345" ht="15" customHeight="1" s="12">
      <c r="A345" s="5" t="inlineStr">
        <is>
          <t>both</t>
        </is>
      </c>
      <c r="B345" s="5" t="inlineStr">
        <is>
          <t>MSIFDYKTALGGDGKALYSEAITLALYASTPTGEALPGTAWRPISASQLGYQGNVSAQGTISGEQAIVSDAQVEVLGKYDASGQLLSIGISFRGTDSLKDGINDLQAAFVSGFADNYSRLAFDNLLGKVAAFAAAQGLSGSDVLVTGHSLGGLGVNSLAAMSSDHWGGFYQDASYVAFASPTQSANSSQVLNIGYENDPVFRALDGTHFNASSLGTHDKPQESATNNIVSFTDHYSSFLGKLIPQSILNPQSWSAHSAVDYAGGLNRLINSDFYDLTSRDSTVVISNLSEGKRDQVWVKDLNLYAEKHTGSTFIIGTQSNDLLHGGKGNDYLDGGAGDDRFRDDGGYNIIHGGQGHNVLELQQPLKNFSIANDGDGTLYIRDAYGGISMTRDVGALVSHETGSWWQLFGKDVSHSVTADGLQNGNQWTAYNHSLNGDAYGNALVASVDGDWLFGHGGDDLLSSDKANVTFVGGTGNDVMHSSGGGGNTFLFSGNFGFDLIHGYQNTDKLVFMGVPGVDAHYDYSQHLSQNGNDTLLSVGEFSVTLVGVGMDSLSGSGLVFA</t>
        </is>
      </c>
      <c r="C345" s="5" t="n">
        <v>165</v>
      </c>
      <c r="D345" s="5" t="inlineStr">
        <is>
          <t>AAY92474.2</t>
        </is>
      </c>
      <c r="E345" s="5" t="n">
        <v>4</v>
      </c>
      <c r="F345" s="5" t="inlineStr">
        <is>
          <t>Pue</t>
        </is>
      </c>
      <c r="G345" s="5" t="inlineStr">
        <is>
          <t>Alpha/Beta Hydrolase</t>
        </is>
      </c>
      <c r="H345" s="5" t="inlineStr">
        <is>
          <t>3.40.50.1820</t>
        </is>
      </c>
      <c r="I345" s="5" t="inlineStr">
        <is>
          <t>Bacteria</t>
        </is>
      </c>
      <c r="J345" s="5" t="inlineStr">
        <is>
          <t>Pseudomonas protegens strain Pf-5</t>
        </is>
      </c>
      <c r="K345" s="5" t="inlineStr">
        <is>
          <t>PueB</t>
        </is>
      </c>
      <c r="L345" s="5" t="inlineStr">
        <is>
          <t>PUR</t>
        </is>
      </c>
      <c r="M345" s="5" t="inlineStr">
        <is>
          <t>-</t>
        </is>
      </c>
      <c r="N345" s="5" t="inlineStr">
        <is>
          <t>Hung, 2016</t>
        </is>
      </c>
      <c r="O345" s="5" t="inlineStr">
        <is>
          <t>AAY92474.2</t>
        </is>
      </c>
      <c r="P345" s="5" t="inlineStr">
        <is>
          <t>AAY92474.2</t>
        </is>
      </c>
      <c r="Q345" s="5" t="inlineStr">
        <is>
          <t>-</t>
        </is>
      </c>
      <c r="R345" s="5" t="inlineStr">
        <is>
          <t>Q4KBS3</t>
        </is>
      </c>
      <c r="S345" s="5" t="inlineStr">
        <is>
          <t>polyurethanase B</t>
        </is>
      </c>
      <c r="T345" s="5" t="inlineStr">
        <is>
          <t>Pseudomonas protegens Pf-5</t>
        </is>
      </c>
      <c r="U345" s="5">
        <f>FALSE()</f>
        <v/>
      </c>
      <c r="V345" s="5">
        <f>TRUE()</f>
        <v/>
      </c>
      <c r="W345" s="5" t="inlineStr">
        <is>
          <t>MSIFDYKTALGGDGKALYSEAITLALYASTPTGEALPGTAWRPISASQLGYQGNVSAQGTISGEQAIVSDAQVEVLGKYDASGQLLSIGISFRGTDSLKDGINDLQAAFVSGFADNYSRLAFDNLLGKVAAFAAAQGLSGSDVLVTGHSLGGLGVNSLAAMSSDHWGGFYQDASYVAFASPTQSANSSQVLNIGYENDPVFRALDGTHFNASSLGTHDKPQESATNNIVSFTDHYSSFLGKLIPQSILNPQSWSAHSAVDYAGGLNRLINSDFYDLTSRDSTVVISNLSEGKRDQVWVKDLNLYAEKHTGSTFIIGTQSNDLLHGGKGNDYLDGGAGDDRFRDDGGYNIIHGGQGHNVLELQQPLKNFSIANDGDGTLYIRDAYGGISMTRDVGALVSHETGSWWQLFGKDVSHSVTADGLQNGNQWTAYNHSLNGDAYGNALVASVDGDWLFGHGGDDLLSSDKANVTFVGGTGNDVMHSSGGGGNTFLFSGNFGFDLIHGYQNTDKLVFMGVPGVDAHYDYSQHLSQNGNDTLLSVGEFSVTLVGVGMDSLSGSGLVFA</t>
        </is>
      </c>
      <c r="X345" s="5" t="n">
        <v>1</v>
      </c>
      <c r="Y345" s="5" t="inlineStr">
        <is>
          <t>PueB</t>
        </is>
      </c>
      <c r="Z345" s="5" t="inlineStr">
        <is>
          <t>WP_011061489.1</t>
        </is>
      </c>
      <c r="AA345" s="5" t="inlineStr">
        <is>
          <t>Direct</t>
        </is>
      </c>
      <c r="AB345" s="5" t="n">
        <v>51</v>
      </c>
      <c r="AC345" s="5" t="inlineStr">
        <is>
          <t>10.1128/AEM.01448-16</t>
        </is>
      </c>
      <c r="AD345" s="5" t="inlineStr">
        <is>
          <t>MSIFDYKTALGGDGKALYSEAITLALYASTPTGEALPGTAWRPISASQLGYQGNVSAQGTISGEQAIVSDAQVEVLGKYDASGQLLSIGISFRGTDSLKDGINDLQAAFVSGFADNYSRLAFDNLLGKVAAFAAAQGLSGSDVLVTGHSLGGLGVNSLAAMSSDHWGGFYQDASYVAFASPTQSANSSQVLNIGYENDPVFRALDGTHFNASSLGTHDKPQESATNNIVSFTDHYSSFLGKLIPQSILNPQSWSAHSAVDYAGGLNRLINSDFYDLTSRDSTVVISNLSEGKRDQVWVKDLNLYAEKHTGSTFIIGTQSNDLLHGGKGNDYLDGGAGDDRFRDDGGYNIIHGGQGHNVLELQQPLKNFSIANDGDGTLYIRDAYGGISMTRDVGALVSHETGSWWQLFGKDVSHSVTADGLQNGNQWTAYNHSLNGDAYGNALVASVDGDWLFGHGGDDLLSSDKANVTFVGGTGNDVMHSSGGGGNTFLFSGNFGFDLIHGYQNTDKLVFMGVPGVDAHYDYSQHLSQNGNDTLLSVGEFSVTLVGVGMDSLSGSGLVFA</t>
        </is>
      </c>
      <c r="AE345" s="5" t="inlineStr">
        <is>
          <t>Pseudomonas protegens</t>
        </is>
      </c>
      <c r="AF345" s="5" t="n">
        <v>380021</v>
      </c>
      <c r="AG345" s="5" t="inlineStr">
        <is>
          <t>supp_unavailable</t>
        </is>
      </c>
      <c r="AH345" s="5" t="inlineStr">
        <is>
          <t>ncbi</t>
        </is>
      </c>
      <c r="AI345" s="5" t="n"/>
      <c r="AJ345" s="5" t="n"/>
      <c r="AK345" s="5" t="n"/>
      <c r="AL345" s="5" t="n">
        <v>1</v>
      </c>
    </row>
    <row r="346" ht="15" customHeight="1" s="12">
      <c r="A346" s="5" t="inlineStr">
        <is>
          <t>both</t>
        </is>
      </c>
      <c r="B346" s="5" t="inlineStr">
        <is>
          <t>MTDVEIALSTGRVKGTDLGDVVRYYGIPYAEDPVGDLRFAAPVRREPWPGVRDATRPAATAQRLRFDPDPAIPEPIVAGTDILHVDVWAPTEGAGHPVLVWIHGGGWESGSSHQPWFVGTAFARAGIVVVSVGYRLGVEGFTAFPDAPDNRGVRDWIMALEWVRDEIAAFGGDPGQVTVSGQSAGGGAVLCLLASPLAAGLFHRGIASSPAVLRSPAAQAPKGTTAAGLAAGGRGAVDEFHRRLRKDNPFLMPFRPTVGDDTVPVPPLEGIGSGPGLDLPLLIGSTATEFEGVVRALPGAALVPGAAMILRSQELPTTGLRALARQSAGKSLRRAVGAVVDAATIHSTVVRAAETRVAAGAPTWVYDFRWSEGRGAVHCADLPFFWSVPEAANVRAYLGADAPPGLVDAMHRSWVDFVRSGDPGSPPYAPPGRRVQVWDEPPAVVEDGLADVRAVWWPAGGS</t>
        </is>
      </c>
      <c r="C346" s="5" t="n">
        <v>108</v>
      </c>
      <c r="D346" s="5" t="inlineStr">
        <is>
          <t>WID88783.1</t>
        </is>
      </c>
      <c r="E346" s="5" t="n">
        <v>23</v>
      </c>
      <c r="F346" s="5" t="inlineStr">
        <is>
          <t>Ipet</t>
        </is>
      </c>
      <c r="G346" s="5" t="inlineStr">
        <is>
          <t>Alpha/Beta Hydrolase</t>
        </is>
      </c>
      <c r="H346" s="5" t="inlineStr">
        <is>
          <t>3.40.50.1820</t>
        </is>
      </c>
      <c r="I346" s="5" t="inlineStr">
        <is>
          <t>Bacteria</t>
        </is>
      </c>
      <c r="J346" s="5" t="inlineStr">
        <is>
          <t>Dietzia kunjamensis</t>
        </is>
      </c>
      <c r="K346" s="5" t="inlineStr">
        <is>
          <t>Dkca1</t>
        </is>
      </c>
      <c r="L346" s="5" t="inlineStr">
        <is>
          <t>PET</t>
        </is>
      </c>
      <c r="M346" s="5" t="inlineStr">
        <is>
          <t>-</t>
        </is>
      </c>
      <c r="N346" s="5" t="inlineStr">
        <is>
          <t>Singh, 2024</t>
        </is>
      </c>
      <c r="O346" s="5" t="inlineStr">
        <is>
          <t>WID88783.1</t>
        </is>
      </c>
      <c r="P346" s="5" t="inlineStr">
        <is>
          <t>WID88783.1</t>
        </is>
      </c>
      <c r="Q346" s="5" t="inlineStr">
        <is>
          <t>-</t>
        </is>
      </c>
      <c r="R346" s="5" t="inlineStr">
        <is>
          <t>-</t>
        </is>
      </c>
      <c r="S346" s="5" t="inlineStr">
        <is>
          <t>carboxylesterase</t>
        </is>
      </c>
      <c r="T346" s="5" t="inlineStr">
        <is>
          <t>Dietzia kunjamensis</t>
        </is>
      </c>
      <c r="U346" s="5">
        <f>FALSE()</f>
        <v/>
      </c>
      <c r="V346" s="5">
        <f>TRUE()</f>
        <v/>
      </c>
      <c r="W346" s="5" t="inlineStr">
        <is>
          <t>MTDVEIALSTGRVKGTDLGDVVRYYGIPYAEDPVGDLRFAAPVRREPWPGVRDATRPAATAQRLRFDPDPAIPEPIVAGTDILHVDVWAPTEGAGHPVLVWIHGGGWESGSSHQPWFVGTAFARAGIVVVSVGYRLGVEGFTAFPDAPDNRGVRDWIMALEWVRDEIAAFGGDPGQVTVSGQSAGGGAVLCLLASPLAAGLFHRGIASSPAVLRSPAAQAPKGTTAAGLAAGGRGAVDEFHRRLRKDNPFLMPFRPTVGDDTVPVPPLEGIGSGPGLDLPLLIGSTATEFEGVVRALPGAALVPGAAMILRSQELPTTGLRALARQSAGKSLRRAVGAVVDAATIHSTVVRAAETRVAAGAPTWVYDFRWSEGRGAVHCADLPFFWSVPEAANVRAYLGADAPPGLVDAMHRSWVDFVRSGDPGSPPYAPPGRRVQVWDEPPAVVEDGLADVRAVWWPAGGS</t>
        </is>
      </c>
      <c r="X346" s="5" t="n">
        <v>1</v>
      </c>
      <c r="Y346" s="5" t="inlineStr">
        <is>
          <t>Dkca1</t>
        </is>
      </c>
      <c r="Z346" s="5" t="inlineStr">
        <is>
          <t>WID88783</t>
        </is>
      </c>
      <c r="AA346" s="5" t="inlineStr">
        <is>
          <t>Direct</t>
        </is>
      </c>
      <c r="AB346" s="5" t="n">
        <v>240</v>
      </c>
      <c r="AC346" s="5" t="inlineStr">
        <is>
          <t>10.1016/j.bbrc.2024.150833</t>
        </is>
      </c>
      <c r="AD346" s="5" t="inlineStr">
        <is>
          <t>MTDVEIALSTGRVKGTDLGDVVRYYGIPYAEDPVGDLRFAAPVRREPWPGVRDATRPAATAQRLRFDPDPAIPEPIVAGTDILHVDVWAPTEGAGHPVLVWIHGGGWESGSSHQPWFVGTAFARAGIVVVSVGYRLGVEGFTAFPDAPDNRGVRDWIMALEWVRDEIAAFGGDPGQVTVSGQSAGGGAVLCLLASPLAAGLFHRGIASSPAVLRSPAAQAPKGTTAAGLAAGGRGAVDEFHRRLRKDNPFLMPFRPTVGDDTVPVPPLEGIGSGPGLDLPLLIGSTATEFEGVVRALPGAALVPGAAMILRSQELPTTGLRALARQSAGKSLRRAVGAVVDAATIHSTVVRAAETRVAAGAPTWVYDFRWSEGRGAVHCADLPFFWSVPEAANVRAYLGADAPPGLVDAMHRSWVDFVRSGDPGSPPYAPPGRRVQVWDEPPAVVEDGLADVRAVWWPAGGS</t>
        </is>
      </c>
      <c r="AE346" s="5" t="inlineStr">
        <is>
          <t>Dietzia kunjamensis</t>
        </is>
      </c>
      <c r="AF346" s="5" t="n">
        <v>322509</v>
      </c>
      <c r="AG346" s="5" t="inlineStr">
        <is>
          <t>supp_unavailable</t>
        </is>
      </c>
      <c r="AH346" s="5" t="inlineStr">
        <is>
          <t>ncbi</t>
        </is>
      </c>
      <c r="AI346" s="5" t="n"/>
      <c r="AJ346" s="5" t="n"/>
      <c r="AK346" s="5" t="n"/>
      <c r="AL346" s="5" t="n">
        <v>1</v>
      </c>
    </row>
    <row r="347" ht="15" customHeight="1" s="12">
      <c r="A347" s="5" t="inlineStr">
        <is>
          <t>both</t>
        </is>
      </c>
      <c r="B347" s="5" t="inlineStr">
        <is>
          <t>MTEPLILQPVKPADACVIWLHGLGADRYDFLPVAEALQESLLSTRFVLPQAPTRPVTINGGYAMPSWYDIKAMSPARAIDRDELEASADRIIELIEEQRSSGIDASRIFLAGFSQGGAVVYHTAFLKWQGPLGGVLALSTYAPTFSDELELSASQQRIPVLSLHGQFDNVVQNSMGRTAYEYLKAHGVTVTWQEYPMEHEVLPEEIRDIGTWLSERLR</t>
        </is>
      </c>
      <c r="C347" s="5" t="n">
        <v>137</v>
      </c>
      <c r="D347" s="5" t="inlineStr">
        <is>
          <t>WP_085690612.1</t>
        </is>
      </c>
      <c r="E347" s="5" t="n">
        <v>38</v>
      </c>
      <c r="F347" s="5" t="inlineStr">
        <is>
          <t>Ipet</t>
        </is>
      </c>
      <c r="G347" s="5" t="inlineStr">
        <is>
          <t>Alpha/Beta Hydrolase</t>
        </is>
      </c>
      <c r="H347" s="5" t="inlineStr">
        <is>
          <t>3.40.50.1820</t>
        </is>
      </c>
      <c r="I347" s="5" t="inlineStr">
        <is>
          <t>Bacteria</t>
        </is>
      </c>
      <c r="J347" s="5" t="inlineStr">
        <is>
          <t>Pseudomonas sp.</t>
        </is>
      </c>
      <c r="K347" s="5" t="inlineStr">
        <is>
          <t>MG8</t>
        </is>
      </c>
      <c r="L347" s="5" t="inlineStr">
        <is>
          <t>PET</t>
        </is>
      </c>
      <c r="M347" s="5" t="inlineStr">
        <is>
          <t>EC 3.1.1.1</t>
        </is>
      </c>
      <c r="N347" s="5" t="inlineStr">
        <is>
          <t>Edwards et al., 2022</t>
        </is>
      </c>
      <c r="O347" s="5" t="inlineStr">
        <is>
          <t>WP_085690612</t>
        </is>
      </c>
      <c r="P347" s="5" t="inlineStr">
        <is>
          <t>WP_085690612.1</t>
        </is>
      </c>
      <c r="Q347" s="5" t="inlineStr">
        <is>
          <t>-</t>
        </is>
      </c>
      <c r="R347" s="5" t="inlineStr">
        <is>
          <t>-</t>
        </is>
      </c>
      <c r="S347" s="5" t="inlineStr">
        <is>
          <t>alpha/beta hydrolase</t>
        </is>
      </c>
      <c r="T347" s="5" t="inlineStr">
        <is>
          <t>Pseudomonas</t>
        </is>
      </c>
      <c r="U347" s="5">
        <f>FALSE()</f>
        <v/>
      </c>
      <c r="V347" s="5">
        <f>TRUE()</f>
        <v/>
      </c>
      <c r="W347" s="5" t="inlineStr">
        <is>
          <t>MTEPLILQPVKPADACVIWLHGLGADRYDFLPVAEALQESLLSTRFVLPQAPTRPVTINGGYAMPSWYDIKAMSPARAIDRDELEASADRIIELIEEQRSSGIDASRIFLAGFSQGGAVVYHTAFLKWQGPLGGVLALSTYAPTFSDELELSASQQRIPVLSLHGQFDNVVQNSMGRTAYEYLKAHGVTVTWQEYPMEHEVLPEEIRDIGTWLSERLR</t>
        </is>
      </c>
      <c r="X347" s="5" t="n">
        <v>1</v>
      </c>
      <c r="Y347" s="5" t="inlineStr">
        <is>
          <t>EstB</t>
        </is>
      </c>
      <c r="Z347" s="5" t="inlineStr">
        <is>
          <t>WP_085690612</t>
        </is>
      </c>
      <c r="AA347" s="5" t="inlineStr">
        <is>
          <t>Direct</t>
        </is>
      </c>
      <c r="AB347" s="5" t="n">
        <v>14</v>
      </c>
      <c r="AC347" s="5" t="inlineStr">
        <is>
          <t>10.3390/ijms23105612</t>
        </is>
      </c>
      <c r="AD347" s="5" t="inlineStr">
        <is>
          <t>MTEPLILQPVKPADACVIWLHGLGADRYDFLPVAEALQESLLSTRFVLPQAPTRPVTINGGYAMPSWYDIKAMSPARAIDRDELEASADRIIELIEEQRSSGIDASRIFLAGFSQGGAVVYHTAFLKWQGPLGGVLALSTYAPTFSDELELSASQQRIPVLSLHGQFDNVVQNSMGRTAYEYLKAHGVTVTWQEYPMEHEVLPEEIRDIGTWLSERLR</t>
        </is>
      </c>
      <c r="AE347" s="5" t="inlineStr">
        <is>
          <t>Pseudomonas sp. B10</t>
        </is>
      </c>
      <c r="AF347" s="5" t="n">
        <v>118613</v>
      </c>
      <c r="AG347" s="5" t="inlineStr">
        <is>
          <t>supp_unavailable</t>
        </is>
      </c>
      <c r="AH347" s="5" t="inlineStr">
        <is>
          <t>ncbi</t>
        </is>
      </c>
      <c r="AI347" s="5" t="n"/>
      <c r="AJ347" s="5" t="n"/>
      <c r="AK347" s="5" t="n"/>
      <c r="AL347" s="5" t="n">
        <v>1</v>
      </c>
    </row>
    <row r="348" ht="15" customHeight="1" s="12">
      <c r="A348" s="5" t="inlineStr">
        <is>
          <t>both</t>
        </is>
      </c>
      <c r="B348" s="5" t="inlineStr">
        <is>
          <t>MTHQIVTTQYGKVKGTTENGVHKWKGIPYAKPPVGQWRFKAPEPPEVWEDVLDATAYGPICPQPSDLLSLSYTELPRQSEDCLYVNVFAPDTPSQNLPVMVWIHGGAFYLGAGSEPLYDGSKLAAQGEVIVVTLNYRLGPFGFLHLSSFNEAYSDNLGLLDQAAALKWVRENISAFGGDPDNVTVFGESAGGMSIAALLAMPAAKGLFQKAIMESGASRTMTKEQAASTSAAFLQVLGINEGQLDKLHTVSAEDSLKAADQLRIAEKENIFQLFFQPALDPKTLPEEPEKAIAEGAASGIPLLIGTTRDEGYLFFTPDSDVHSQETLDAALEYLLGKPLAEKAADLYPRSLESQIHMMTDLLFWRPAVAYASAQSHYAPVWMYRFDWHPKKPPYNKAFHALELPFVFGNLDGLERMAKAEITDEVKQLSHTIQSAWITFAKTGNPSTEAVNWPAYHEETRETLILDSEITIENDPESEKRQKLFPSKGE</t>
        </is>
      </c>
      <c r="C348" s="5" t="n">
        <v>99</v>
      </c>
      <c r="D348" s="5" t="inlineStr">
        <is>
          <t>ADH43200.1</t>
        </is>
      </c>
      <c r="E348" s="5" t="n">
        <v>23</v>
      </c>
      <c r="F348" s="5" t="inlineStr">
        <is>
          <t>Ipet</t>
        </is>
      </c>
      <c r="G348" s="5" t="inlineStr">
        <is>
          <t>Alpha/Beta Hydrolase</t>
        </is>
      </c>
      <c r="H348" s="5" t="inlineStr">
        <is>
          <t>3.40.50.1820</t>
        </is>
      </c>
      <c r="I348" s="5" t="inlineStr">
        <is>
          <t>Bacteria</t>
        </is>
      </c>
      <c r="J348" s="5" t="inlineStr">
        <is>
          <t>Bacillus subtilis 4P3-11</t>
        </is>
      </c>
      <c r="K348" s="5" t="inlineStr">
        <is>
          <t>BsEstB</t>
        </is>
      </c>
      <c r="L348" s="5" t="inlineStr">
        <is>
          <t>PET</t>
        </is>
      </c>
      <c r="M348" s="5" t="inlineStr">
        <is>
          <t>EC 3.1.1.1</t>
        </is>
      </c>
      <c r="N348" s="5" t="inlineStr">
        <is>
          <t>Ribitsch,2011</t>
        </is>
      </c>
      <c r="O348" s="5" t="inlineStr">
        <is>
          <t>ADH43200.1</t>
        </is>
      </c>
      <c r="P348" s="5" t="inlineStr">
        <is>
          <t>ADH43200.1</t>
        </is>
      </c>
      <c r="Q348" s="5" t="inlineStr">
        <is>
          <t>-</t>
        </is>
      </c>
      <c r="R348" s="5" t="inlineStr">
        <is>
          <t>D7R6G8</t>
        </is>
      </c>
      <c r="S348" s="5" t="inlineStr">
        <is>
          <t>para-nitrobenzylesterase</t>
        </is>
      </c>
      <c r="T348" s="5" t="inlineStr">
        <is>
          <t>Bacillus subtilis</t>
        </is>
      </c>
      <c r="U348" s="5">
        <f>FALSE()</f>
        <v/>
      </c>
      <c r="V348" s="5">
        <f>TRUE()</f>
        <v/>
      </c>
      <c r="W348" s="5" t="inlineStr">
        <is>
          <t>MTHQIVTTQYGKVKGTTENGVHKWKGIPYAKPPVGQWRFKAPEPPEVWEDVLDATAYGPICPQPSDLLSLSYTELPRQSEDCLYVNVFAPDTPSQNLPVMVWIHGGAFYLGAGSEPLYDGSKLAAQGEVIVVTLNYRLGPFGFLHLSSFNEAYSDNLGLLDQAAALKWVRENISAFGGDPDNVTVFGESAGGMSIAALLAMPAAKGLFQKAIMESGASRTMTKEQAASTSAAFLQVLGINEGQLDKLHTVSAEDSLKAADQLRIAEKENIFQLFFQPALDPKTLPEEPEKAIAEGAASGIPLLIGTTRDEGYLFFTPDSDVHSQETLDAALEYLLGKPLAEKAADLYPRSLESQIHMMTDLLFWRPAVAYASAQSHYAPVWMYRFDWHPKKPPYNKAFHALELPFVFGNLDGLERMAKAEITDEVKQLSHTIQSAWITFAKTGNPSTEAVNWPAYHEETRETLILDSEITIENDPESEKRQKLFPSKGE</t>
        </is>
      </c>
      <c r="X348" s="5" t="n">
        <v>1</v>
      </c>
      <c r="Y348" s="5" t="inlineStr">
        <is>
          <t>BsEstB</t>
        </is>
      </c>
      <c r="Z348" s="5" t="inlineStr">
        <is>
          <t>ADH43200.1</t>
        </is>
      </c>
      <c r="AA348" s="5" t="inlineStr">
        <is>
          <t>Direct</t>
        </is>
      </c>
      <c r="AB348" s="5" t="n">
        <v>36</v>
      </c>
      <c r="AC348" s="5" t="inlineStr">
        <is>
          <t>10.1002/btpr.610</t>
        </is>
      </c>
      <c r="AD348" s="5" t="inlineStr">
        <is>
          <t>MTHQIVTTQYGKVKGTTENGVHKWKGIPYAKPPVGQWRFKAPEPPEVWEDVLDATAYGPICPQPSDLLSLSYTELPRQSEDCLYVNVFAPDTPSQNLPVMVWIHGGAFYLGAGSEPLYDGSKLAAQGEVIVVTLNYRLGPFGFLHLSSFNEAYSDNLGLLDQAAALKWVRENISAFGGDPDNVTVFGESAGGMSIAALLAMPAAKGLFQKAIMESGASRTMTKEQAASTSAAFLQVLGINEGQLDKLHTVSAEDSLKAADQLRIAEKENIFQLFFQPALDPKTLPEEPEKAIAEGAASGIPLLIGTTRDEGYLFFTPDSDVHSQETLDAALEYLLGKPLAEKAADLYPRSLESQIHMMTDLLFWRPAVAYASAQSHYAPVWMYRFDWHPKKPPYNKAFHALELPFVFGNLDGLERMAKAEITDEVKQLSHTIQSAWITFAKTGNPSTEAVNWPAYHEETRETLILDSEITIENDPESEKRQKLFPSKGE</t>
        </is>
      </c>
      <c r="AE348" s="5" t="inlineStr">
        <is>
          <t>Bacillus subtilis</t>
        </is>
      </c>
      <c r="AF348" s="5" t="n">
        <v>1423</v>
      </c>
      <c r="AG348" s="5" t="inlineStr">
        <is>
          <t>supp_unavailable</t>
        </is>
      </c>
      <c r="AH348" s="5" t="inlineStr">
        <is>
          <t>ncbi</t>
        </is>
      </c>
      <c r="AI348" s="5" t="n"/>
      <c r="AJ348" s="5" t="n"/>
      <c r="AK348" s="5" t="n"/>
      <c r="AL348" s="5" t="n">
        <v>1</v>
      </c>
    </row>
    <row r="349" ht="15" customHeight="1" s="12">
      <c r="A349" s="5" t="inlineStr">
        <is>
          <t>both</t>
        </is>
      </c>
      <c r="B349" s="5" t="inlineStr">
        <is>
          <t>MTKQSLPQGMADQRLCRFFTAALCSLLMLLLWPTTVTAGQTFSYTSPQQAYSGSRERSYKVYVPTGLSTPAPMVMALHGCRQTNDDVLNDWGLKAAADRYGFILVAPFITSYDGLRNENCWGFWFEQHIHQGGGEVADLHRIAQQVEANFVIDANRRFITGLSSGGAMALVAAVAYNEYWAAAAPAAGLPYRETASSVSLSGQCPGSATFRSVSQVAADMRSEVNDAYPIPLMILQNRNDCTVLQTAANNMRDAHLQVFGSASRNTPATTKASDTGCSPYHQNDYGCRHIAYTQDGTTATRSLVETVIYDGPLATPNPQDTNHGHYWIGGAQGNNGKWSLQVGPSYPDIIWDFFSRHSRDGSQPQGHPVIVLQGDNPLSVPLGSTFNDPGASASDAEDGSLPVSADCSAVNPSVVGSYSCLYSATDSDGNRSTLTRTVEVYDPNAPVETCQVVSASPSAHIGAGRAYAGGTSNLRAYAKDDGVDIGGSFDTWSNVPLYEGEPGRWYAQRPAACGGSGQAFTCQEWNASNLSHVMAGRAYYGYYTVGGNQYLGSLSGLSTWVRETAQGHFQAGRCSN</t>
        </is>
      </c>
      <c r="C349" s="5" t="n">
        <v>125</v>
      </c>
      <c r="D349" s="5" t="inlineStr">
        <is>
          <t>O82950</t>
        </is>
      </c>
      <c r="E349" s="5" t="n">
        <v>29</v>
      </c>
      <c r="F349" s="5" t="inlineStr">
        <is>
          <t>Ipet</t>
        </is>
      </c>
      <c r="G349" s="5" t="inlineStr">
        <is>
          <t>Alpha/Beta Hydrolase</t>
        </is>
      </c>
      <c r="H349" s="5" t="inlineStr">
        <is>
          <t>3.40.50.1820</t>
        </is>
      </c>
      <c r="I349" s="5" t="inlineStr">
        <is>
          <t>Bacteria</t>
        </is>
      </c>
      <c r="J349" s="5" t="inlineStr">
        <is>
          <t>Pseudomonas stutzeri</t>
        </is>
      </c>
      <c r="K349" s="5" t="inlineStr">
        <is>
          <t>PhaZst</t>
        </is>
      </c>
      <c r="L349" s="5" t="inlineStr">
        <is>
          <t>PHA</t>
        </is>
      </c>
      <c r="M349" s="5" t="inlineStr">
        <is>
          <t>-</t>
        </is>
      </c>
      <c r="N349" s="5" t="inlineStr">
        <is>
          <t>Ohura, 1999, Kasuya 1999</t>
        </is>
      </c>
      <c r="O349" s="5" t="inlineStr">
        <is>
          <t>O82950</t>
        </is>
      </c>
      <c r="P349" s="5" t="inlineStr">
        <is>
          <t>O82950</t>
        </is>
      </c>
      <c r="Q349" s="5" t="inlineStr">
        <is>
          <t>-</t>
        </is>
      </c>
      <c r="R349" s="5" t="inlineStr">
        <is>
          <t>O82950</t>
        </is>
      </c>
      <c r="S349" s="5" t="inlineStr">
        <is>
          <t>Polyhydroxybutyrate depolymerase</t>
        </is>
      </c>
      <c r="T349" s="5" t="inlineStr">
        <is>
          <t>Stutzerimonas stutzeri</t>
        </is>
      </c>
      <c r="U349" s="5">
        <f>TRUE()</f>
        <v/>
      </c>
      <c r="V349" s="5">
        <f>TRUE()</f>
        <v/>
      </c>
      <c r="W349" s="5" t="inlineStr">
        <is>
          <t>MTKQSLPQGMADQRLCRFFTAALCSLLMLLLWPTTVTAGQTFSYTSPQQAYSGSRERSYKVYVPTGLSTPAPMVMALHGCRQTNDDVLNDWGLKAAADRYGFILVAPFITSYDGLRNENCWGFWFEQHIHQGGGEVADLHRIAQQVEANFVIDANRRFITGLSSGGAMALVAAVAYNEYWAAAAPAAGLPYRETASSVSLSGQCPGSATFRSVSQVAADMRSEVNDAYPIPLMILQNRNDCTVLQTAANNMRDAHLQVFGSASRNTPATTKASDTGCSPYHQNDYGCRHIAYTQDGTTATRSLVETVIYDGPLATPNPQDTNHGHYWIGGAQGNNGKWSLQVGPSYPDIIWDFFSRHSRDGSQPQGHPVIVLQGDNPLSVPLGSTFNDPGASASDAEDGSLPVSADCSAVNPSVVGSYSCLYSATDSDGNRSTLTRTVEVYDPNAPVETCQVVSASPSAHIGAGRAYAGGTSNLRAYAKDDGVDIGGSFDTWSNVPLYEGEPGRWYAQRPAACGGSGQAFTCQEWNASNLSHVMAGRAYYGYYTVGGNQYLGSLSGLSTWVRETAQGHFQAGRCSN</t>
        </is>
      </c>
      <c r="X349" s="5" t="n">
        <v>1</v>
      </c>
      <c r="Y349" s="5" t="inlineStr">
        <is>
          <t>PhaZpst</t>
        </is>
      </c>
      <c r="Z349" s="5" t="inlineStr">
        <is>
          <t>BAA32541.1</t>
        </is>
      </c>
      <c r="AA349" s="5" t="inlineStr">
        <is>
          <t>Direct</t>
        </is>
      </c>
      <c r="AB349" s="5" t="n">
        <v>112</v>
      </c>
      <c r="AC349" s="5" t="inlineStr">
        <is>
          <t>10.1016/S0141-8130(99)00046-X; 10.1128/aem.65.1.189-197.1999</t>
        </is>
      </c>
      <c r="AD349" s="5" t="inlineStr">
        <is>
          <t>MTKQSLPQGMADQRLCRFFTAALCSLLMLLLWPTTVTAGQTFSYTSPQQAYSGSRERSYKVYVPTGLSTPAPMVMALHGCRQTNDDVLNDWGLKAAADRYGFILVAPFITSYDGLRNENCWGFWFEQHIHQGGGEVADLHRIAQQVEANFVIDANRRFITGLSSGGAMALVAAVAYNEYWAAAAPAAGLPYRETASSVSLSGQCPGSATFRSVSQVAADMRSEVNDAYPIPLMILQNRNDCTVLQTAANNMRDAHLQVFGSASRNTPATTKASDTGCSPYHQNDYGCRHIAYTQDGTTATRSLVETVIYDGPLATPNPQDTNHGHYWIGGAQGNNGKWSLQVGPSYPDIIWDFFSRHSRDGSQPQGHPVIVLQGDNPLSVPLGSTFNDPGASASDAEDGSLPVSADCSAVNPSVVGSYSCLYSATDSDGNRSTLTRTVEVYDPNAPVETCQVVSASPSAHIGAGRAYAGGTSNLRAYAKDDGVDIGGSFDTWSNVPLYEGEPGRWYAQRPAACGGSGQAFTCQEWNASNLSHVMAGRAYYGYYTVGGNQYLGSLSGLSTWVRETAQGHFQAGRCSN</t>
        </is>
      </c>
      <c r="AE349" s="5" t="inlineStr">
        <is>
          <t>Stutzerimonas stutzeri</t>
        </is>
      </c>
      <c r="AF349" s="5" t="n">
        <v>316</v>
      </c>
      <c r="AG349" s="5" t="inlineStr">
        <is>
          <t>supp_unavailable</t>
        </is>
      </c>
      <c r="AH349" s="5" t="inlineStr">
        <is>
          <t>ncbi</t>
        </is>
      </c>
      <c r="AI349" s="5" t="n"/>
      <c r="AJ349" s="5" t="n"/>
      <c r="AK349" s="5" t="n"/>
      <c r="AL349" s="5" t="n">
        <v>1</v>
      </c>
    </row>
    <row r="350" ht="15" customHeight="1" s="12">
      <c r="A350" s="5" t="inlineStr">
        <is>
          <t>both</t>
        </is>
      </c>
      <c r="B350" s="5" t="inlineStr">
        <is>
          <t>MTKSFAADWHAQIRRLSRAQARTEAQVKSWLDRVDSLNPLTPARPDRPPGKVRPARPAPAPGSLPGTWQAHRLRLAPLPGELVPQLSYHLYIPSKAHRGPLPVVVVLHGCRQTPDDLSAGTRMNALAEREGFIVAYPQQPLRRQVQRCWQWFDLGAAEGGREAQAVAALIDALAARHDVREREIYLAGMSAGAAMAAVVALRYPGKVAAAALHSGVVIGAADNPRAGLRAMQQGSAADPSWLLDAAGVTPGGPEMPALVIHGLADDAVHPVNGRLLARQFLAYNGLEDRLAGAPAQSGPEDEAPGRSHEYRFGRWRRDLVTLVEVEGLGHAWSGGDASYGYHSDIGPDASTMMWQFFSQHRR</t>
        </is>
      </c>
      <c r="C350" s="5" t="n">
        <v>129</v>
      </c>
      <c r="D350" s="5" t="inlineStr">
        <is>
          <t>Q0JZG9</t>
        </is>
      </c>
      <c r="E350" s="5" t="n">
        <v>31</v>
      </c>
      <c r="F350" s="5" t="inlineStr">
        <is>
          <t>Ipet</t>
        </is>
      </c>
      <c r="G350" s="5" t="inlineStr">
        <is>
          <t>Alpha/Beta Hydrolase</t>
        </is>
      </c>
      <c r="H350" s="5" t="inlineStr">
        <is>
          <t>3.40.50.1820</t>
        </is>
      </c>
      <c r="I350" s="5" t="inlineStr">
        <is>
          <t>Bacteria</t>
        </is>
      </c>
      <c r="J350" s="5" t="inlineStr">
        <is>
          <t>Cuprivadus necator ATC17699</t>
        </is>
      </c>
      <c r="K350" s="5" t="inlineStr">
        <is>
          <t>PhaZ6</t>
        </is>
      </c>
      <c r="L350" s="5" t="inlineStr">
        <is>
          <t>PHA</t>
        </is>
      </c>
      <c r="M350" s="5" t="inlineStr">
        <is>
          <t>-</t>
        </is>
      </c>
      <c r="N350" s="5" t="inlineStr">
        <is>
          <t>Abe, 2005; Sznajder, 2014</t>
        </is>
      </c>
      <c r="O350" s="5" t="inlineStr">
        <is>
          <t>Q0JZG9</t>
        </is>
      </c>
      <c r="P350" s="5" t="inlineStr">
        <is>
          <t>Q0JZG9</t>
        </is>
      </c>
      <c r="Q350" s="5" t="inlineStr">
        <is>
          <t>-</t>
        </is>
      </c>
      <c r="R350" s="5" t="inlineStr">
        <is>
          <t>Q0JZG9</t>
        </is>
      </c>
      <c r="S350" s="5" t="inlineStr">
        <is>
          <t>PHB depolymerase family esterase</t>
        </is>
      </c>
      <c r="T350" s="5" t="inlineStr">
        <is>
          <t>Cupriavidus necator H16</t>
        </is>
      </c>
      <c r="U350" s="5">
        <f>FALSE()</f>
        <v/>
      </c>
      <c r="V350" s="5">
        <f>TRUE()</f>
        <v/>
      </c>
      <c r="W350" s="5" t="inlineStr">
        <is>
          <t>MTKSFAADWHAQIRRLSRAQARTEAQVKSWLDRVDSLNPLTPARPDRPPGKVRPARPAPAPGSLPGTWQAHRLRLAPLPGELVPQLSYHLYIPSKAHRGPLPVVVVLHGCRQTPDDLSAGTRMNALAEREGFIVAYPQQPLRRQVQRCWQWFDLGAAEGGREAQAVAALIDALAARHDVREREIYLAGMSAGAAMAAVVALRYPGKVAAAALHSGVVIGAADNPRAGLRAMQQGSAADPSWLLDAAGVTPGGPEMPALVIHGLADDAVHPVNGRLLARQFLAYNGLEDRLAGAPAQSGPEDEAPGRSHEYRFGRWRRDLVTLVEVEGLGHAWSGGDASYGYHSDIGPDASTMMWQFFSQHRR</t>
        </is>
      </c>
      <c r="X350" s="5" t="n">
        <v>1</v>
      </c>
      <c r="Y350" s="5" t="inlineStr">
        <is>
          <t>PhaZd1</t>
        </is>
      </c>
      <c r="Z350" s="5" t="inlineStr">
        <is>
          <t>WP_010811062.1</t>
        </is>
      </c>
      <c r="AA350" s="5" t="inlineStr">
        <is>
          <t>Direct</t>
        </is>
      </c>
      <c r="AB350" s="5" t="n">
        <v>105</v>
      </c>
      <c r="AC350" s="5" t="inlineStr">
        <is>
          <t>10.1128%2FJB.187.20.6982-6990.2005; 10.1128/aem.01056-14</t>
        </is>
      </c>
      <c r="AD350" s="5" t="inlineStr">
        <is>
          <t>MTKSFAADWHAQIRRLSRAQARTEAQVKSWLDRVDSLNPLTPARPDRPPGKVRPARPAPAPGSLPGTWQAHRLRLAPLPGELVPQLSYHLYIPSKAHRGPLPVVVVLHGCRQTPDDLSAGTRMNALAEREGFIVAYPQQPLRRQVQRCWQWFDLGAAEGGREAQAVAALIDALAARHDVREREIYLAGMSAGAAMAAVVALRYPGKVAAAALHSGVVIGAADNPRAGLRAMQQGSAADPSWLLDAAGVTPGGPEMPALVIHGLADDAVHPVNGRLLARQFLAYNGLEDRLAGAPAQSGPEDEAPGRSHEYRFGRWRRDLVTLVEVEGLGHAWSGGDASYGYHSDIGPDASTMMWQFFSQHRR</t>
        </is>
      </c>
      <c r="AE350" s="5" t="inlineStr">
        <is>
          <t>Cupriavidus necator</t>
        </is>
      </c>
      <c r="AF350" s="5" t="n">
        <v>106590</v>
      </c>
      <c r="AG350" s="5" t="inlineStr">
        <is>
          <t>supp_unavailable</t>
        </is>
      </c>
      <c r="AH350" s="5" t="inlineStr">
        <is>
          <t>ncbi</t>
        </is>
      </c>
      <c r="AI350" s="5" t="n"/>
      <c r="AJ350" s="5" t="n"/>
      <c r="AK350" s="5" t="n"/>
      <c r="AL350" s="5" t="n">
        <v>1</v>
      </c>
    </row>
    <row r="351" ht="15" customHeight="1" s="12">
      <c r="A351" s="5" t="inlineStr">
        <is>
          <t>both</t>
        </is>
      </c>
      <c r="B351" s="5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  <c r="C351" s="5" t="n">
        <v>23</v>
      </c>
      <c r="D351" s="5" t="inlineStr">
        <is>
          <t>BAK48590.1</t>
        </is>
      </c>
      <c r="E351" s="5" t="n">
        <v>1</v>
      </c>
      <c r="F351" s="5" t="inlineStr">
        <is>
          <t>Ipet</t>
        </is>
      </c>
      <c r="G351" s="5" t="inlineStr">
        <is>
          <t>Alpha/Beta Hydrolase</t>
        </is>
      </c>
      <c r="H351" s="5" t="inlineStr">
        <is>
          <t>3.40.50.1820</t>
        </is>
      </c>
      <c r="I351" s="5" t="inlineStr">
        <is>
          <t>Bacteria</t>
        </is>
      </c>
      <c r="J351" s="5" t="inlineStr">
        <is>
          <t>Thermobifida alba AHK119</t>
        </is>
      </c>
      <c r="K351" s="5" t="inlineStr">
        <is>
          <t>Est119; Est2</t>
        </is>
      </c>
      <c r="L351" s="5" t="inlineStr">
        <is>
          <t>PET; PLA; PBAT</t>
        </is>
      </c>
      <c r="M351" s="5" t="inlineStr">
        <is>
          <t>EC 3.1.1.1</t>
        </is>
      </c>
      <c r="N351" s="5" t="inlineStr">
        <is>
          <t>Hu, 2010, Kitadokoro, 2019; Thumarat, 2012</t>
        </is>
      </c>
      <c r="O351" s="5" t="inlineStr">
        <is>
          <t>F7IX06</t>
        </is>
      </c>
      <c r="P351" s="5" t="inlineStr">
        <is>
          <t>BAK48590.1</t>
        </is>
      </c>
      <c r="Q351" s="5" t="inlineStr">
        <is>
          <t>6AID</t>
        </is>
      </c>
      <c r="R351" s="5" t="inlineStr">
        <is>
          <t>F7IX06</t>
        </is>
      </c>
      <c r="S351" s="5" t="inlineStr">
        <is>
          <t>esterase</t>
        </is>
      </c>
      <c r="T351" s="5" t="inlineStr">
        <is>
          <t>Thermobifida alba</t>
        </is>
      </c>
      <c r="U351" s="5">
        <f>FALSE()</f>
        <v/>
      </c>
      <c r="V351" s="5">
        <f>TRUE()</f>
        <v/>
      </c>
      <c r="W351" s="5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  <c r="X351" s="5" t="n">
        <v>1</v>
      </c>
      <c r="Y351" s="5" t="inlineStr">
        <is>
          <t>Est119</t>
        </is>
      </c>
      <c r="Z351" s="5" t="inlineStr">
        <is>
          <t>BAK48590.1</t>
        </is>
      </c>
      <c r="AA351" s="5" t="inlineStr">
        <is>
          <t>Direct</t>
        </is>
      </c>
      <c r="AB351" s="5" t="n">
        <v>35</v>
      </c>
      <c r="AC351" s="5" t="inlineStr">
        <is>
          <t>10.1007/s00253-010-2555-x; 10.1007/s00253-011-3781-6; 10.1111/febs.14781</t>
        </is>
      </c>
      <c r="AD351" s="5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  <c r="AE351" s="5" t="inlineStr">
        <is>
          <t>Thermobifida alba</t>
        </is>
      </c>
      <c r="AF351" s="5" t="n">
        <v>53522</v>
      </c>
      <c r="AG351" s="5" t="inlineStr">
        <is>
          <t>supp_unavailable</t>
        </is>
      </c>
      <c r="AH351" s="5" t="inlineStr">
        <is>
          <t>ncbi</t>
        </is>
      </c>
      <c r="AI351" s="5" t="n"/>
      <c r="AJ351" s="5" t="n"/>
      <c r="AK351" s="5" t="n"/>
      <c r="AL351" s="5" t="n">
        <v>1</v>
      </c>
    </row>
    <row r="352" ht="15" customHeight="1" s="12">
      <c r="A352" s="5" t="inlineStr">
        <is>
          <t>both</t>
        </is>
      </c>
      <c r="B352" s="5" t="inlineStr">
        <is>
      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  <c r="C352" s="5" t="inlineStr">
        <is>
          <t>22;27</t>
        </is>
      </c>
      <c r="D352" s="5" t="inlineStr">
        <is>
          <t>BAI99230.2;D4Q9N1</t>
        </is>
      </c>
      <c r="E352" s="5" t="n">
        <v>1</v>
      </c>
      <c r="F352" s="5" t="inlineStr">
        <is>
          <t>Ipet</t>
        </is>
      </c>
      <c r="G352" s="5" t="inlineStr">
        <is>
          <t>Alpha/Beta Hydrolase</t>
        </is>
      </c>
      <c r="H352" s="5" t="inlineStr">
        <is>
          <t>3.40.50.1820</t>
        </is>
      </c>
      <c r="I352" s="5" t="inlineStr">
        <is>
          <t>Bacteria</t>
        </is>
      </c>
      <c r="J352" s="5" t="inlineStr">
        <is>
          <t>Thermobifida alba AHK119</t>
        </is>
      </c>
      <c r="K352" s="5" t="inlineStr">
        <is>
          <t>Est1; Enzyme 708;Est1</t>
        </is>
      </c>
      <c r="L352" s="5" t="inlineStr">
        <is>
          <t>PET; PBAT;PLA</t>
        </is>
      </c>
      <c r="M352" s="5" t="inlineStr">
        <is>
          <t>EC 3.1.1.1;-</t>
        </is>
      </c>
      <c r="N352" s="5" t="inlineStr">
        <is>
          <t>Hu, 2010; Erickson, 2022; Thumarat, 2015;Hu, 2010, Kitadokoro, 2019</t>
        </is>
      </c>
      <c r="O352" s="5" t="inlineStr">
        <is>
          <t>BAI99230;D4Q9N1</t>
        </is>
      </c>
      <c r="P352" s="5" t="inlineStr">
        <is>
          <t>BAI99230.2;-</t>
        </is>
      </c>
      <c r="Q352" s="5" t="inlineStr">
        <is>
          <t>-</t>
        </is>
      </c>
      <c r="R352" s="5" t="inlineStr">
        <is>
          <t>D4Q9N1</t>
        </is>
      </c>
      <c r="S352" s="5" t="inlineStr">
        <is>
          <t>esterase;Cutinase est1</t>
        </is>
      </c>
      <c r="T352" s="5" t="inlineStr">
        <is>
          <t>Thermobifida alba</t>
        </is>
      </c>
      <c r="U352" s="5">
        <f>FALSE()</f>
        <v/>
      </c>
      <c r="V352" s="5">
        <f>TRUE()</f>
        <v/>
      </c>
      <c r="W352" s="5" t="inlineStr">
        <is>
      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  <c r="X352" s="5" t="n">
        <v>2</v>
      </c>
      <c r="Y352" s="5" t="inlineStr">
        <is>
          <t>Est1</t>
        </is>
      </c>
      <c r="Z352" s="5" t="inlineStr">
        <is>
          <t>BAI99230.2</t>
        </is>
      </c>
      <c r="AA352" s="5" t="inlineStr">
        <is>
          <t>Direct</t>
        </is>
      </c>
      <c r="AB352" s="5" t="n">
        <v>33</v>
      </c>
      <c r="AC352" s="5" t="inlineStr">
        <is>
          <t>10.1007/s00253-010-2555-x; 10.1016/j.jbiosc.2015.03.006; 10.1038/s41467-022-35237-x</t>
        </is>
      </c>
      <c r="AD352" s="5" t="inlineStr">
        <is>
      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  <c r="AE352" s="5" t="inlineStr">
        <is>
          <t>Thermobifida alba</t>
        </is>
      </c>
      <c r="AF352" s="5" t="n">
        <v>53522</v>
      </c>
      <c r="AG352" s="5" t="inlineStr">
        <is>
          <t>supp_unavailable</t>
        </is>
      </c>
      <c r="AH352" s="5" t="inlineStr">
        <is>
          <t>ncbi</t>
        </is>
      </c>
      <c r="AI352" s="5" t="n"/>
      <c r="AJ352" s="5" t="n"/>
      <c r="AK352" s="5" t="n"/>
      <c r="AL352" s="5" t="n">
        <v>1</v>
      </c>
    </row>
    <row r="353" ht="15" customHeight="1" s="12">
      <c r="A353" s="5" t="inlineStr">
        <is>
          <t>both</t>
        </is>
      </c>
      <c r="B353" s="5" t="inlineStr">
        <is>
          <t>MTTDLHLKSVEELAPLLASKSLSPVELTKAILDFAEESQPKINSYMAFYREEALARAKEVEQEILQGHYKGMYHGIPMALKDNLYFKDKITTMSSKIHKDFVSDYDATVVEKLRDAGVIFTGKLSMHEYAWGITNNNPHYGPVRNPWDLDKIPGGSSGGSGAAVAAGASVASLGTDTAGSIRIPSSACGIVGLKPTHGRVSKYGCYPLAWSLDHIGPMTKTVKDAAGLLEVIAGFDHQDPTCVNVPVDNYEKQLTGNIKDLVIGINEEYFFNNVDADVEKAVRASIQSLVDSGAKVEVVRIPSLQYAEWAELVTSLSEAAAIHHSDLQKRPQDFGDDIRLLFELGELPSAVDYLQAQQVRRQIKQEFTEIFNKVDVLISPTLPIVASTIGDDFAELNGQKVDLIDNIIRFTGPSNLTGLPALSVPCGFKGNLPIGLQIIGPAFKEGRILNVGYAVEQANPQRNRKPNIFANI</t>
        </is>
      </c>
      <c r="C353" s="5" t="n">
        <v>184</v>
      </c>
      <c r="D353" s="5" t="inlineStr">
        <is>
          <t>ANG60415.1</t>
        </is>
      </c>
      <c r="E353" s="5" t="n">
        <v>10</v>
      </c>
      <c r="F353" s="5" t="inlineStr">
        <is>
          <t>NylA</t>
        </is>
      </c>
      <c r="G353" s="5" t="inlineStr">
        <is>
          <t>Amidase signature</t>
        </is>
      </c>
      <c r="H353" s="5" t="inlineStr">
        <is>
          <t>3.90.1300.10</t>
        </is>
      </c>
      <c r="I353" s="5" t="inlineStr">
        <is>
          <t>Bacteria</t>
        </is>
      </c>
      <c r="J353" s="5" t="inlineStr">
        <is>
          <t>Lysinibacillus fusiformis SCO2</t>
        </is>
      </c>
      <c r="K353" s="5" t="inlineStr">
        <is>
          <t>GatA</t>
        </is>
      </c>
      <c r="L353" s="5" t="inlineStr">
        <is>
          <t>PUR</t>
        </is>
      </c>
      <c r="M353" s="5" t="inlineStr">
        <is>
          <t>-</t>
        </is>
      </c>
      <c r="N353" s="5" t="inlineStr">
        <is>
          <t>Li, 2014; Jia, 2020</t>
        </is>
      </c>
      <c r="O353" s="5" t="inlineStr">
        <is>
          <t>ANG60415.1</t>
        </is>
      </c>
      <c r="P353" s="5" t="inlineStr">
        <is>
          <t>ANG60415.1</t>
        </is>
      </c>
      <c r="Q353" s="5" t="inlineStr">
        <is>
          <t>-</t>
        </is>
      </c>
      <c r="R353" s="5" t="inlineStr">
        <is>
          <t>A0A173DW34</t>
        </is>
      </c>
      <c r="S353" s="5" t="inlineStr">
        <is>
          <t>urethanase</t>
        </is>
      </c>
      <c r="T353" s="5" t="inlineStr">
        <is>
          <t>Lysinibacillus fusiformis</t>
        </is>
      </c>
      <c r="U353" s="5">
        <f>FALSE()</f>
        <v/>
      </c>
      <c r="V353" s="5">
        <f>TRUE()</f>
        <v/>
      </c>
      <c r="W353" s="5" t="inlineStr">
        <is>
          <t>MTTDLHLKSVEELAPLLASKSLSPVELTKAILDFAEESQPKINSYMAFYREEALARAKEVEQEILQGHYKGMYHGIPMALKDNLYFKDKITTMSSKIHKDFVSDYDATVVEKLRDAGVIFTGKLSMHEYAWGITNNNPHYGPVRNPWDLDKIPGGSSGGSGAAVAAGASVASLGTDTAGSIRIPSSACGIVGLKPTHGRVSKYGCYPLAWSLDHIGPMTKTVKDAAGLLEVIAGFDHQDPTCVNVPVDNYEKQLTGNIKDLVIGINEEYFFNNVDADVEKAVRASIQSLVDSGAKVEVVRIPSLQYAEWAELVTSLSEAAAIHHSDLQKRPQDFGDDIRLLFELGELPSAVDYLQAQQVRRQIKQEFTEIFNKVDVLISPTLPIVASTIGDDFAELNGQKVDLIDNIIRFTGPSNLTGLPALSVPCGFKGNLPIGLQIIGPAFKEGRILNVGYAVEQANPQRNRKPNIFANI</t>
        </is>
      </c>
      <c r="X353" s="5" t="n">
        <v>1</v>
      </c>
      <c r="Y353" s="5" t="inlineStr">
        <is>
          <t>GatA;Urethanase</t>
        </is>
      </c>
      <c r="Z353" s="5" t="inlineStr">
        <is>
          <t>ANG60415</t>
        </is>
      </c>
      <c r="AA353" s="5" t="inlineStr">
        <is>
          <t>Direct</t>
        </is>
      </c>
      <c r="AB353" s="5" t="inlineStr">
        <is>
          <t>234;158</t>
        </is>
      </c>
      <c r="AC353" s="5" t="inlineStr">
        <is>
          <t>10.1016/j.fbio.2020.100666</t>
        </is>
      </c>
      <c r="AD353" s="5" t="inlineStr">
        <is>
          <t>MTTDLHLKSVEELAPLLASKSLSPVELTKAILDFAEESQPKINSYMAFYREEALARAKEVEQEILQGHYKGMYHGIPMALKDNLYFKDKITTMSSKIHKDFVSDYDATVVEKLRDAGVIFTGKLSMHEYAWGITNNNPHYGPVRNPWDLDKIPGGSSGGSGAAVAAGASVASLGTDTAGSIRIPSSACGIVGLKPTHGRVSKYGCYPLAWSLDHIGPMTKTVKDAAGLLEVIAGFDHQDPTCVNVPVDNYEKQLTGNIKDLVIGINEEYFFNNVDADVEKAVRASIQSLVDSGAKVEVVRIPSLQYAEWAELVTSLSEAAAIHHSDLQKRPQDFGDDIRLLFELGELPSAVDYLQAQQVRRQIKQEFTEIFNKVDVLISPTLPIVASTIGDDFAELNGQKVDLIDNIIRFTGPSNLTGLPALSVPCGFKGNLPIGLQIIGPAFKEGRILNVGYAVEQANPQRNRKPNIFANI</t>
        </is>
      </c>
      <c r="AE353" s="5" t="inlineStr">
        <is>
          <t>Lysinibacillus fusiformis</t>
        </is>
      </c>
      <c r="AF353" s="5" t="n">
        <v>28031</v>
      </c>
      <c r="AG353" s="5" t="inlineStr">
        <is>
          <t>supp_unavailable</t>
        </is>
      </c>
      <c r="AH353" s="5" t="inlineStr">
        <is>
          <t>ncbi</t>
        </is>
      </c>
      <c r="AI353" s="5" t="n"/>
      <c r="AJ353" s="5" t="n"/>
      <c r="AK353" s="5" t="n"/>
      <c r="AL353" s="5" t="n">
        <v>2</v>
      </c>
    </row>
    <row r="354" ht="15" customHeight="1" s="12">
      <c r="A354" s="5" t="inlineStr">
        <is>
          <t>both</t>
        </is>
      </c>
      <c r="B354" s="5" t="inlineStr">
        <is>
          <t>MSVSLKGALRVLPLAASVALVGCFGGGDPEPGPDGQALTNPGEYEICSYETDLENSGYASARMTYPCDLSDGPYPATTLTGGFTNTKEQMEWLAEHLTTHGYVVLTMTPNNTLGVPPGWRDAQLGGFAELADENARSNSPLKGKIDLSKRNIMGFSMGGGGVILAAEEMGDAPTSAIALAPWLGAYNVDYSQIETPMLMLGSENDELAYYTEDYYAQLPADLERGVAIYAGASHFDWYGVNNQDQKAQFRTLVTAFLEVQLKGDTSAYSYFDGAEHDEHVQEGWFSAFDYQK</t>
        </is>
      </c>
      <c r="C354" s="5" t="n">
        <v>40</v>
      </c>
      <c r="D354" s="5" t="inlineStr">
        <is>
          <t>MEC8523093.1</t>
        </is>
      </c>
      <c r="E354" s="5" t="n">
        <v>1</v>
      </c>
      <c r="F354" s="5" t="inlineStr">
        <is>
          <t>Ipet</t>
        </is>
      </c>
      <c r="G354" s="5" t="inlineStr">
        <is>
          <t>Alpha/Beta Hydrolase</t>
        </is>
      </c>
      <c r="H354" s="5" t="inlineStr">
        <is>
          <t>3.40.50.1820</t>
        </is>
      </c>
      <c r="I354" s="5" t="inlineStr">
        <is>
          <t>Bacteria</t>
        </is>
      </c>
      <c r="J354" s="5" t="inlineStr">
        <is>
          <t>Pseudomonadota bacterium</t>
        </is>
      </c>
      <c r="K354" s="5" t="inlineStr">
        <is>
          <t>dsPETase05</t>
        </is>
      </c>
      <c r="L354" s="5" t="inlineStr">
        <is>
          <t>PET</t>
        </is>
      </c>
      <c r="M354" s="5" t="inlineStr">
        <is>
          <t>-</t>
        </is>
      </c>
      <c r="N354" s="5" t="inlineStr">
        <is>
          <t>Chen, 2024</t>
        </is>
      </c>
      <c r="O354" s="5" t="inlineStr">
        <is>
          <t>MEC8523093.1</t>
        </is>
      </c>
      <c r="P354" s="5" t="inlineStr">
        <is>
          <t>MEC8523093.1</t>
        </is>
      </c>
      <c r="Q354" s="5" t="inlineStr">
        <is>
          <t>-</t>
        </is>
      </c>
      <c r="R354" s="5" t="inlineStr">
        <is>
          <t>-</t>
        </is>
      </c>
      <c r="S354" s="5" t="inlineStr">
        <is>
          <t>hypothetical protein VXZ24_02475</t>
        </is>
      </c>
      <c r="T354" s="5" t="inlineStr">
        <is>
          <t>Pseudomonadota bacterium</t>
        </is>
      </c>
      <c r="U354" s="5">
        <f>FALSE()</f>
        <v/>
      </c>
      <c r="V354" s="5">
        <f>TRUE()</f>
        <v/>
      </c>
      <c r="W354" s="5" t="inlineStr">
        <is>
          <t>MSVSLKGALRVLPLAASVALVGCFGGGDPEPGPDGQALTNPGEYEICSYETDLENSGYASARMTYPCDLSDGPYPATTLTGGFTNTKEQMEWLAEHLTTHGYVVLTMTPNNTLGVPPGWRDAQLGGFAELADENARSNSPLKGKIDLSKRNIMGFSMGGGGVILAAEEMGDAPTSAIALAPWLGAYNVDYSQIETPMLMLGSENDELAYYTEDYYAQLPADLERGVAIYAGASHFDWYGVNNQDQKAQFRTLVTAFLEVQLKGDTSAYSYFDGAEHDEHVQEGWFSAFDYQK</t>
        </is>
      </c>
      <c r="X354" s="5" t="n">
        <v>1</v>
      </c>
      <c r="Y354" s="5" t="inlineStr">
        <is>
          <t>dsPETase06</t>
        </is>
      </c>
      <c r="Z354" s="5" t="inlineStr">
        <is>
          <t>MEC8523093</t>
        </is>
      </c>
      <c r="AA354" s="5" t="inlineStr">
        <is>
          <t>Direct</t>
        </is>
      </c>
      <c r="AB354" s="5" t="n">
        <v>238</v>
      </c>
      <c r="AC354" s="5" t="inlineStr">
        <is>
          <t>10.1038/s41586-024-07891-2</t>
        </is>
      </c>
      <c r="AD354" s="5" t="inlineStr">
        <is>
          <t>MSVSLKGALRVLPLAASVALVGCFGGGDPEPGPDGQALTNPGEYEICSYETDLENSGYASARMTYPCDLSDGPYPATTLTGGFTNTKEQMEWLAEHLTTHGYVVLTMTPNNTLGVPPGWRDAQLGGFAELADENARSNSPLKGKIDLSKRNIMGFSMGGGGVILAAEEMGDAPTSAIALAPWLGAYNVDYSQIETPMLMLGSENDELAYYTEDYYAQLPADLERGVAIYAGASHFDWYGVNNQDQKAQFRTLVTAFLEVQLKGDTSAYSYFDGAEHDEHVQEGWFSAFDYQK</t>
        </is>
      </c>
      <c r="AE354" s="5" t="inlineStr">
        <is>
          <t>Pseudomonadota bacterium</t>
        </is>
      </c>
      <c r="AF354" s="5" t="n">
        <v>1977087</v>
      </c>
      <c r="AG354" s="5" t="inlineStr">
        <is>
          <t>supp_unavailable</t>
        </is>
      </c>
      <c r="AH354" s="5" t="inlineStr">
        <is>
          <t>ncbi</t>
        </is>
      </c>
      <c r="AI354" s="5" t="n"/>
      <c r="AJ354" s="5" t="n"/>
      <c r="AK354" s="5" t="n"/>
      <c r="AL354" s="5" t="n">
        <v>1</v>
      </c>
    </row>
    <row r="355" ht="15" customHeight="1" s="12">
      <c r="A355" s="5" t="inlineStr">
        <is>
          <t>both</t>
        </is>
      </c>
      <c r="B355" s="5" t="inlineStr">
        <is>
          <t>MVINLNGVNYYYEIAGKGEPLMLLHGFTGDVSTWKLSRLSDSFKVITIDIIGHGKSDAPADPNRYTMEAVAKDLCDMLNILGINRIHLLGYSMGGRLALSFTMFYPERVKTLILESSSPGLKTEEERKNRIRQDEHLANTILEDGIEHFVNYWENIPLFKSQTQLPEQVQKSIRKQRLKNSPLGLANSLRGMGTGRQPSWWDRLQKCEIPVLLLTGEIDQKFCQIAKEMEADLPNCQRIVFPNVGHAVHLEDPVSFEQSILRFLSK</t>
        </is>
      </c>
      <c r="C355" s="5" t="n">
        <v>97</v>
      </c>
      <c r="D355" s="5" t="inlineStr">
        <is>
          <t>CEE00769.1</t>
        </is>
      </c>
      <c r="E355" s="5" t="n">
        <v>22</v>
      </c>
      <c r="F355" s="5" t="inlineStr">
        <is>
          <t>Ipet</t>
        </is>
      </c>
      <c r="G355" s="5" t="inlineStr">
        <is>
          <t>Alpha/Beta Hydrolase</t>
        </is>
      </c>
      <c r="H355" s="5" t="inlineStr">
        <is>
          <t>3.40.50.1820</t>
        </is>
      </c>
      <c r="I355" s="5" t="inlineStr">
        <is>
          <t>Bacteria</t>
        </is>
      </c>
      <c r="J355" s="5" t="inlineStr">
        <is>
          <t>Caldibacillus thermoamylovorans</t>
        </is>
      </c>
      <c r="K355" s="5" t="inlineStr">
        <is>
          <t>Est8_89</t>
        </is>
      </c>
      <c r="L355" s="5" t="inlineStr">
        <is>
          <t>PET</t>
        </is>
      </c>
      <c r="M355" s="5" t="inlineStr">
        <is>
          <t>EC:4.2.99.20</t>
        </is>
      </c>
      <c r="N355" s="5" t="inlineStr">
        <is>
          <t>Yan, 2024</t>
        </is>
      </c>
      <c r="O355" s="5" t="inlineStr">
        <is>
          <t>CEE00769.1</t>
        </is>
      </c>
      <c r="P355" s="5" t="inlineStr">
        <is>
          <t>CEE00769.1</t>
        </is>
      </c>
      <c r="Q355" s="5" t="inlineStr">
        <is>
          <t>-</t>
        </is>
      </c>
      <c r="R355" s="5" t="inlineStr">
        <is>
          <t>A0A090KQ36</t>
        </is>
      </c>
      <c r="S355" s="5" t="inlineStr">
        <is>
          <t>putative esterase YtxM</t>
        </is>
      </c>
      <c r="T355" s="5" t="inlineStr">
        <is>
          <t>Caldibacillus thermoamylovorans</t>
        </is>
      </c>
      <c r="U355" s="5">
        <f>TRUE()</f>
        <v/>
      </c>
      <c r="V355" s="5">
        <f>TRUE()</f>
        <v/>
      </c>
      <c r="W355" s="5" t="inlineStr">
        <is>
          <t>MVINLNGVNYYYEIAGKGEPLMLLHGFTGDVSTWKLSRLSDSFKVITIDIIGHGKSDAPADPNRYTMEAVAKDLCDMLNILGINRIHLLGYSMGGRLALSFTMFYPERVKTLILESSSPGLKTEEERKNRIRQDEHLANTILEDGIEHFVNYWENIPLFKSQTQLPEQVQKSIRKQRLKNSPLGLANSLRGMGTGRQPSWWDRLQKCEIPVLLLTGEIDQKFCQIAKEMEADLPNCQRIVFPNVGHAVHLEDPVSFEQSILRFLSK</t>
        </is>
      </c>
      <c r="X355" s="5" t="n">
        <v>1</v>
      </c>
      <c r="Y355" s="5" t="inlineStr">
        <is>
          <t>Est8_89</t>
        </is>
      </c>
      <c r="Z355" s="5" t="inlineStr">
        <is>
          <t>WP_034768559.1</t>
        </is>
      </c>
      <c r="AA355" s="5" t="inlineStr">
        <is>
          <t>Direct</t>
        </is>
      </c>
      <c r="AB355" s="5" t="n">
        <v>210</v>
      </c>
      <c r="AC355" s="5" t="inlineStr">
        <is>
          <t>10.1016/j.ijbiomac.2024.129538</t>
        </is>
      </c>
      <c r="AD355" s="5" t="inlineStr">
        <is>
          <t>MVINLNGVNYYYEIAGKGEPLMLLHGFTGDVSTWKLSRLSDSFKVITIDIIGHGKSDAPADPNRYTMEAVAKDLCDMLNILGINRIHLLGYSMGGRLALSFTMFYPERVKTLILESSSPGLKTEEERKNRIRQDEHLANTILEDGIEHFVNYWENIPLFKSQTQLPEQVQKSIRKQRLKNSPLGLANSLRGMGTGRQPSWWDRLQKCEIPVLLLTGEIDQKFCQIAKEMEADLPNCQRIVFPNVGHAVHLEDPVSFEQSILRFLSK</t>
        </is>
      </c>
      <c r="AE355" s="5" t="inlineStr">
        <is>
          <t>Caldibacillus thermoamylovorans</t>
        </is>
      </c>
      <c r="AF355" s="5" t="n">
        <v>35841</v>
      </c>
      <c r="AG355" s="5" t="inlineStr">
        <is>
          <t>supp_unavailable</t>
        </is>
      </c>
      <c r="AH355" s="5" t="inlineStr">
        <is>
          <t>ncbi</t>
        </is>
      </c>
      <c r="AI355" s="5" t="n"/>
      <c r="AJ355" s="5" t="n"/>
      <c r="AK355" s="5" t="n"/>
      <c r="AL355" s="5" t="n">
        <v>1</v>
      </c>
    </row>
    <row r="356" ht="15" customHeight="1" s="12">
      <c r="A356" s="5" t="inlineStr">
        <is>
          <t>both</t>
        </is>
      </c>
      <c r="B356" s="5" t="inlineStr">
        <is>
          <t>MSIRVIPNNPEFKGLVEMLGDIEFAAPDGHALKLHIIRPWKRTTRGYPLVVFIQGSSWTTPDQYWEIPQLSQLAARGFVVATVTHRSCFEAKAPAFLTDVKAAIRFLKVKASEYDIDPDRVCAWGTSSGGNAALLVGMTGDDPAFESADWPGVSSRVQAVVDCFGPTDLMRMMEVQYADQLDEDGALFYALGGGESADACRAAMTRISPIAYAQPGRDFPPFLMLHGDADPVVLYEDTERLYRRLVELGYAADLVRVSGAEHEGSFWSETVLEIIFAFIEEKIGGARNTEGFEND</t>
        </is>
      </c>
      <c r="C356" s="5" t="n">
        <v>105</v>
      </c>
      <c r="D356" s="5" t="inlineStr">
        <is>
          <t>SIP63154.1</t>
        </is>
      </c>
      <c r="E356" s="5" t="n">
        <v>23</v>
      </c>
      <c r="F356" s="5" t="inlineStr">
        <is>
          <t>Ipet</t>
        </is>
      </c>
      <c r="G356" s="5" t="inlineStr">
        <is>
          <t>Alpha/Beta Hydrolase</t>
        </is>
      </c>
      <c r="H356" s="5" t="inlineStr">
        <is>
          <t>3.40.50.1820</t>
        </is>
      </c>
      <c r="I356" s="5" t="inlineStr">
        <is>
          <t>Metagenome</t>
        </is>
      </c>
      <c r="J356" s="5" t="inlineStr">
        <is>
          <t>Metagenome-derived</t>
        </is>
      </c>
      <c r="K356" s="5" t="inlineStr">
        <is>
          <t>CE_Ubrb</t>
        </is>
      </c>
      <c r="L356" s="5" t="inlineStr">
        <is>
          <t>PUR</t>
        </is>
      </c>
      <c r="M356" s="5" t="inlineStr">
        <is>
          <t>-</t>
        </is>
      </c>
      <c r="N356" s="5" t="inlineStr">
        <is>
          <t>Ufarté, 2017</t>
        </is>
      </c>
      <c r="O356" s="5" t="inlineStr">
        <is>
          <t>A0A2I2K6T5</t>
        </is>
      </c>
      <c r="P356" s="5" t="inlineStr">
        <is>
          <t>SIP63154.1</t>
        </is>
      </c>
      <c r="Q356" s="5" t="inlineStr">
        <is>
          <t>-</t>
        </is>
      </c>
      <c r="R356" s="5" t="inlineStr">
        <is>
          <t>A0A2I2K6T5</t>
        </is>
      </c>
      <c r="S356" s="5" t="inlineStr">
        <is>
          <t>esterase</t>
        </is>
      </c>
      <c r="T356" s="5" t="inlineStr">
        <is>
          <t>uncultured bacterium</t>
        </is>
      </c>
      <c r="U356" s="5">
        <f>FALSE()</f>
        <v/>
      </c>
      <c r="V356" s="5">
        <f>TRUE()</f>
        <v/>
      </c>
      <c r="W356" s="5" t="inlineStr">
        <is>
          <t>MSIRVIPNNPEFKGLVEMLGDIEFAAPDGHALKLHIIRPWKRTTRGYPLVVFIQGSSWTTPDQYWEIPQLSQLAARGFVVATVTHRSCFEAKAPAFLTDVKAAIRFLKVKASEYDIDPDRVCAWGTSSGGNAALLVGMTGDDPAFESADWPGVSSRVQAVVDCFGPTDLMRMMEVQYADQLDEDGALFYALGGGESADACRAAMTRISPIAYAQPGRDFPPFLMLHGDADPVVLYEDTERLYRRLVELGYAADLVRVSGAEHEGSFWSETVLEIIFAFIEEKIGGARNTEGFEND</t>
        </is>
      </c>
      <c r="X356" s="5" t="n">
        <v>1</v>
      </c>
      <c r="Y356" s="5" t="inlineStr">
        <is>
          <t>CE_Ubrb</t>
        </is>
      </c>
      <c r="Z356" s="5" t="inlineStr">
        <is>
          <t>SIP63154.1</t>
        </is>
      </c>
      <c r="AA356" s="5" t="inlineStr">
        <is>
          <t>Direct</t>
        </is>
      </c>
      <c r="AB356" s="5" t="n">
        <v>216</v>
      </c>
      <c r="AC356" s="5" t="inlineStr">
        <is>
          <t>10.1371/journal.pone.0189201</t>
        </is>
      </c>
      <c r="AD356" s="5" t="inlineStr">
        <is>
          <t>MSIRVIPNNPEFKGLVEMLGDIEFAAPDGHALKLHIIRPWKRTTRGYPLVVFIQGSSWTTPDQYWEIPQLSQLAARGFVVATVTHRSCFEAKAPAFLTDVKAAIRFLKVKASEYDIDPDRVCAWGTSSGGNAALLVGMTGDDPAFESADWPGVSSRVQAVVDCFGPTDLMRMMEVQYADQLDEDGALFYALGGGESADACRAAMTRISPIAYAQPGRDFPPFLMLHGDADPVVLYEDTERLYRRLVELGYAADLVRVSGAEHEGSFWSETVLEIIFAFIEEKIGGARNTEGFEND</t>
        </is>
      </c>
      <c r="AE356" s="5" t="n"/>
      <c r="AF356" s="5" t="n"/>
      <c r="AG356" s="5" t="inlineStr">
        <is>
          <t>supp_unavailable</t>
        </is>
      </c>
      <c r="AH356" s="5" t="inlineStr">
        <is>
          <t>ncbi</t>
        </is>
      </c>
      <c r="AI356" s="5" t="n"/>
      <c r="AJ356" s="5" t="n"/>
      <c r="AK356" s="5" t="n"/>
      <c r="AL356" s="5" t="n">
        <v>1</v>
      </c>
    </row>
    <row r="357" ht="15" customHeight="1" s="12">
      <c r="A357" s="5" t="inlineStr">
        <is>
          <t>both</t>
        </is>
      </c>
      <c r="B357" s="5" t="inlineStr">
        <is>
          <t>MVKLTSAFIALACAVSSCMASPVVTERAVSATCPRYTIINTRGTGERQGPSTGFTTMNSRITAQLQGGQIYSTVYAADFSQQSSAGTADIVRKVTSTLASDPTHCFYLEGYSQGAAATVNALERLTGNAFDAVKGVFLIGNPEHKSGLACNVDTNGGTTTKFVNGLSAFGGGIPSNWVSKTLDVCNYGDGVCDTTHGYGINAAHLAYPRSTGTQNQGYEFAIKQLA</t>
        </is>
      </c>
      <c r="C357" s="5" t="n">
        <v>141</v>
      </c>
      <c r="D357" s="5" t="inlineStr">
        <is>
          <t>A0A060N5H2</t>
        </is>
      </c>
      <c r="E357" s="5" t="n">
        <v>2</v>
      </c>
      <c r="F357" s="5" t="inlineStr">
        <is>
          <t>Cut</t>
        </is>
      </c>
      <c r="G357" s="5" t="inlineStr">
        <is>
          <t>Alpha/Beta Hydrolase</t>
        </is>
      </c>
      <c r="H357" s="5" t="inlineStr">
        <is>
          <t>3.40.50.1820</t>
        </is>
      </c>
      <c r="I357" s="5" t="inlineStr">
        <is>
          <t>Eukaryota</t>
        </is>
      </c>
      <c r="J357" s="5" t="inlineStr">
        <is>
          <t>Cryptococcus magnus</t>
        </is>
      </c>
      <c r="K357" s="5" t="inlineStr">
        <is>
          <t>CmCut</t>
        </is>
      </c>
      <c r="L357" s="5" t="inlineStr">
        <is>
          <t>PLA</t>
        </is>
      </c>
      <c r="M357" s="5" t="inlineStr">
        <is>
          <t>-</t>
        </is>
      </c>
      <c r="N357" s="5" t="inlineStr">
        <is>
          <t>Ueda, 2021</t>
        </is>
      </c>
      <c r="O357" s="5" t="inlineStr">
        <is>
          <t>A0A060N5H2</t>
        </is>
      </c>
      <c r="P357" s="5" t="inlineStr">
        <is>
          <t>-</t>
        </is>
      </c>
      <c r="Q357" s="5" t="inlineStr">
        <is>
          <t>-</t>
        </is>
      </c>
      <c r="R357" s="5" t="inlineStr">
        <is>
          <t>A0A060N5H2</t>
        </is>
      </c>
      <c r="S357" s="5" t="inlineStr">
        <is>
          <t>Cutinase-like enzyme</t>
        </is>
      </c>
      <c r="T357" s="5" t="inlineStr">
        <is>
          <t>Cryptococcus sp.</t>
        </is>
      </c>
      <c r="U357" s="5">
        <f>FALSE()</f>
        <v/>
      </c>
      <c r="V357" s="5">
        <f>TRUE()</f>
        <v/>
      </c>
      <c r="W357" s="5" t="inlineStr">
        <is>
          <t>MVKLTSAFIALACAVSSCMASPVVTERAVSATCPRYTIINTRGTGERQGPSTGFTTMNSRITAQLQGGQIYSTVYAADFSQQSSAGTADIVRKVTSTLASDPTHCFYLEGYSQGAAATVNALERLTGNAFDAVKGVFLIGNPEHKSGLACNVDTNGGTTTKFVNGLSAFGGGIPSNWVSKTLDVCNYGDGVCDTTHGYGINAAHLAYPRSTGTQNQGYEFAIKQLA</t>
        </is>
      </c>
      <c r="X357" s="5" t="n">
        <v>1</v>
      </c>
      <c r="Y357" s="5" t="inlineStr">
        <is>
          <t>CmCut</t>
        </is>
      </c>
      <c r="Z357" s="5" t="inlineStr">
        <is>
          <t>BAN42606.1</t>
        </is>
      </c>
      <c r="AA357" s="5" t="inlineStr">
        <is>
          <t>Direct</t>
        </is>
      </c>
      <c r="AB357" s="5" t="n">
        <v>97</v>
      </c>
      <c r="AC357" s="5" t="inlineStr">
        <is>
          <t>10.1093/bbb/zbab113</t>
        </is>
      </c>
      <c r="AD357" s="5" t="inlineStr">
        <is>
          <t>MVKLTSAFIALACAVSSCMASPVVTERAVSATCPRYTIINTRGTGERQGPSTGFTTMNSRITAQLQGGQIYSTVYAADFSQQSSAGTADIVRKVTSTLASDPTHCFYLEGYSQGAAATVNALERLTGNAFDAVKGVFLIGNPEHKSGLACNVDTNGGTTTKFVNGLSAFGGGIPSNWVSKTLDVCNYGDGVCDTTHGYGINAAHLAYPRSTGTQNQGYEFAIKQLA</t>
        </is>
      </c>
      <c r="AE357" s="5" t="inlineStr">
        <is>
          <t>Filobasidium magnum</t>
        </is>
      </c>
      <c r="AF357" s="5" t="n">
        <v>104409</v>
      </c>
      <c r="AG357" s="5" t="inlineStr">
        <is>
          <t>supp_unavailable</t>
        </is>
      </c>
      <c r="AH357" s="5" t="inlineStr">
        <is>
          <t>ncbi</t>
        </is>
      </c>
      <c r="AI357" s="5" t="n"/>
      <c r="AJ357" s="5" t="n"/>
      <c r="AK357" s="5" t="n"/>
      <c r="AL357" s="5" t="n">
        <v>1</v>
      </c>
    </row>
    <row r="358" ht="15" customHeight="1" s="12">
      <c r="A358" s="5" t="inlineStr">
        <is>
          <t>both</t>
        </is>
      </c>
      <c r="B358" s="5" t="inlineStr">
        <is>
          <t>MSSQHPWAPARRLSMVLLLGLSAGLAASAQAATDLIQSSRGGSPLWDYCEGKPAATVLPADPRSLVQPGISTGKAVAFNAYWKDCHTDPAAVQEAGHPKTCGDLRDRFYRGGGLLETGSPTVAALFTGDNTRTLESVFGASTLTATQYNALWTTWGGFVVRPDNFDQLVAERYGSVFGTGRNPYPKPFEDPNRTNGGTGRLPEMFTQLRNPDGTWSGRIGVTCHACHSGAANGVPAPGGGSSLQDLHLFLRDALPLGYLASLASIANLTRTRGTNNASDINLAFVFPDQGLLPLDTFLGVLASGSTASMDTPAWWNMGHRPVKFVDGVFPMDAPRVDMVFYTPLLGLFGSVGGPLSEAGQTWMRAHGPDANTWIESLKSPPYPGTIDTALAEQGAVLFHTLNLWATSRNNPVPKPNEGNGSCASCHGAYAPRYVNDPAFLATPALEGMASYITPQRIIQTDIVRQKTNNEAVQVAGASNFFGYPTTKGTVNDCGPQNRADLRGNRELGYLAPPLYGVWATAPYLHNGSVPNVWEVLKPSDRKPLWRRVSNPPRWDQVGRTIMGYDTRMSAYDTQKMGWKYDTLQCRKPTLFDPIPSPYWRCDPKDEQLQAWYNELVRGLYSNVALTWNVLFPPTITNSDIEDRKIYNTYMFGQGNGGHTFNSVLTDAERKALIEYLKTL</t>
        </is>
      </c>
      <c r="C358" s="5" t="n">
        <v>204</v>
      </c>
      <c r="D358" s="5" t="inlineStr">
        <is>
          <t>BAS44780.1</t>
        </is>
      </c>
      <c r="E358" s="5" t="n">
        <v>15</v>
      </c>
      <c r="F358" s="5" t="inlineStr">
        <is>
          <t>Rox</t>
        </is>
      </c>
      <c r="G358" s="5" t="inlineStr">
        <is>
          <t>cytochrome c-like</t>
        </is>
      </c>
      <c r="H358" s="5" t="n"/>
      <c r="I358" s="5" t="inlineStr">
        <is>
          <t>Bacteria</t>
        </is>
      </c>
      <c r="J358" s="5" t="inlineStr">
        <is>
          <t>R. gummiphilus NS21</t>
        </is>
      </c>
      <c r="K358" s="5" t="inlineStr">
        <is>
          <t>LatA</t>
        </is>
      </c>
      <c r="L358" s="5" t="inlineStr">
        <is>
          <t>NR</t>
        </is>
      </c>
      <c r="M358" s="5" t="inlineStr">
        <is>
          <t>-</t>
        </is>
      </c>
      <c r="N358" s="5" t="inlineStr">
        <is>
          <t>Kasai, 2017</t>
        </is>
      </c>
      <c r="O358" s="5" t="inlineStr">
        <is>
          <t>LC073705</t>
        </is>
      </c>
      <c r="P358" s="5" t="inlineStr">
        <is>
          <t>LC073705.1</t>
        </is>
      </c>
      <c r="Q358" s="5" t="inlineStr">
        <is>
          <t>-</t>
        </is>
      </c>
      <c r="R358" s="5" t="inlineStr">
        <is>
          <t>A0A0M4UPQ3</t>
        </is>
      </c>
      <c r="S358" s="5" t="inlineStr">
        <is>
          <t>rubber oxygenase</t>
        </is>
      </c>
      <c r="T358" s="5" t="inlineStr">
        <is>
          <t>Piscinibacter gummiphilus</t>
        </is>
      </c>
      <c r="U358" s="5">
        <f>FALSE()</f>
        <v/>
      </c>
      <c r="V358" s="5">
        <f>TRUE()</f>
        <v/>
      </c>
      <c r="W358" s="5" t="inlineStr">
        <is>
          <t>MSSQHPWAPARRLSMVLLLGLSAGLAASAQAATDLIQSSRGGSPLWDYCEGKPAATVLPADPRSLVQPGISTGKAVAFNAYWKDCHTDPAAVQEAGHPKTCGDLRDRFYRGGGLLETGSPTVAALFTGDNTRTLESVFGASTLTATQYNALWTTWGGFVVRPDNFDQLVAERYGSVFGTGRNPYPKPFEDPNRTNGGTGRLPEMFTQLRNPDGTWSGRIGVTCHACHSGAANGVPAPGGGSSLQDLHLFLRDALPLGYLASLASIANLTRTRGTNNASDINLAFVFPDQGLLPLDTFLGVLASGSTASMDTPAWWNMGHRPVKFVDGVFPMDAPRVDMVFYTPLLGLFGSVGGPLSEAGQTWMRAHGPDANTWIESLKSPPYPGTIDTALAEQGAVLFHTLNLWATSRNNPVPKPNEGNGSCASCHGAYAPRYVNDPAFLATPALEGMASYITPQRIIQTDIVRQKTNNEAVQVAGASNFFGYPTTKGTVNDCGPQNRADLRGNRELGYLAPPLYGVWATAPYLHNGSVPNVWEVLKPSDRKPLWRRVSNPPRWDQVGRTIMGYDTRMSAYDTQKMGWKYDTLQCRKPTLFDPIPSPYWRCDPKDEQLQAWYNELVRGLYSNVALTWNVLFPPTITNSDIEDRKIYNTYMFGQGNGGHTFNSVLTDAERKALIEYLKTL</t>
        </is>
      </c>
      <c r="X358" s="5" t="n">
        <v>1</v>
      </c>
      <c r="Y358" s="5" t="inlineStr">
        <is>
          <t>LatA</t>
        </is>
      </c>
      <c r="Z358" s="5" t="inlineStr">
        <is>
          <t>WP_085748997.1</t>
        </is>
      </c>
      <c r="AA358" s="5" t="inlineStr">
        <is>
          <t>Direct</t>
        </is>
      </c>
      <c r="AB358" s="5" t="n">
        <v>126</v>
      </c>
      <c r="AC358" s="5" t="inlineStr">
        <is>
          <t>10.1080/09168451.2016.1263147</t>
        </is>
      </c>
      <c r="AD358" s="5" t="inlineStr">
        <is>
          <t>MSSQHPWAPARRLSMVLLLGLSAGLAASAQAATDLIQSSRGGSPLWDYCEGKPAATVLPADPRSLVQPGISTGKAVAFNAYWKDCHTDPAAVQEAGHPKTCGDLRDRFYRGGGLLETGSPTVAALFTGDNTRTLESVFGASTLTATQYNALWTTWGGFVVRPDNFDQLVAERYGSVFGTGRNPYPKPFEDPNRTNGGTGRLPEMFTQLRNPDGTWSGRIGVTCHACHSGAANGVPAPGGGSSLQDLHLFLRDALPLGYLASLASIANLTRTRGTNNASDINLAFVFPDQGLLPLDTFLGVLASGSTASMDTPAWWNMGHRPVKFVDGVFPMDAPRVDMVFYTPLLGLFGSVGGPLSEAGQTWMRAHGPDANTWIESLKSPPYPGTIDTALAEQGAVLFHTLNLWATSRNNPVPKPNEGNGSCASCHGAYAPRYVNDPAFLATPALEGMASYITPQRIIQTDIVRQKTNNEAVQVAGASNFFGYPTTKGTVNDCGPQNRADLRGNRELGYLAPPLYGVWATAPYLHNGSVPNVWEVLKPSDRKPLWRRVSNPPRWDQVGRTIMGYDTRMSAYDTQKMGWKYDTLQCRKPTLFDPIPSPYWRCDPKDEQLQAWYNELVRGLYSNVALTWNVLFPPTITNSDIEDRKIYNTYMFGQGNGGHTFNSVLTDAERKALIEYLKTL</t>
        </is>
      </c>
      <c r="AE358" s="5" t="inlineStr">
        <is>
          <t>Piscinibacter gummiphilus</t>
        </is>
      </c>
      <c r="AF358" s="5" t="n">
        <v>946333</v>
      </c>
      <c r="AG358" s="5" t="inlineStr">
        <is>
          <t>supp_unavailable</t>
        </is>
      </c>
      <c r="AH358" s="5" t="inlineStr">
        <is>
          <t>ncbi</t>
        </is>
      </c>
      <c r="AI358" s="5" t="n"/>
      <c r="AJ358" s="5" t="n"/>
      <c r="AK358" s="5" t="n"/>
      <c r="AL358" s="5" t="n">
        <v>1</v>
      </c>
    </row>
    <row r="359" ht="15" customHeight="1" s="12">
      <c r="A359" s="5" t="inlineStr">
        <is>
          <t>both</t>
        </is>
      </c>
      <c r="B359" s="5" t="inlineStr">
        <is>
          <t>MSSKQHRARAKVQRASIFVVLGLVAGHSSSTDAATDLIKSSRGGSQLWDYCEGKGDATLLPADPRSLVQPGIGTGRAVAFNAFWKDCHTDPAAVQEAGHPKTCGELRQRFYRGDGLLDTGSRTVAALFTGDNPTTIESVFGAATLTAAQYNSLWVSWGGFLLRPDNFDELVAERYGSVFGAGRNPYPKPLEDPNRTNGGTGRLPEMFTQLRNPDGSWSGRIGITCHACHSGAANGAHTPGSGSSLQDLHLLLRDAVPLGYLPSLASLANLTRTRGTNNASDINLAFLFPDQGLISISTALGVLASGSTASMDTPAWWNMGHRPVKFVDGVFPMDAPRVDMVFYTPAFGLFGSLGGPLSEAGQNWMRAHGPDANTWIESLKAPAYPGTIDTALAEQGAVLFHTLNLWASNRNNPVPKPSAGNGSCASCHGAYAPRYVNDPAFLASPALEGMAAYITPQRIIQTDPVRQQTNNEAVQIAGASNFFGYPSTAGTANDCGPQNRADLRGNRELGYLAPPLYGIWATAPYMHNGSVPNIWEVLKPSDRTPLWKRKSKTPRWDQTGRAIMGYDTSMQAYDTAKLGWKYDAIQCRRPSLLDPLPSPYLRCDPNDDLLLSWYDALLTNLYGNVILAWNVLFPPTITNTDIENRKIYNSYMFGQGNGGHTFNAVLTDNERKAIIEYLKTL</t>
        </is>
      </c>
      <c r="C359" s="5" t="n">
        <v>203</v>
      </c>
      <c r="D359" s="5" t="inlineStr">
        <is>
          <t>AQV11968.1</t>
        </is>
      </c>
      <c r="E359" s="5" t="n">
        <v>15</v>
      </c>
      <c r="F359" s="5" t="inlineStr">
        <is>
          <t>Rox</t>
        </is>
      </c>
      <c r="G359" s="5" t="inlineStr">
        <is>
          <t>cytochrome c-like</t>
        </is>
      </c>
      <c r="H359" s="5" t="n"/>
      <c r="I359" s="5" t="inlineStr">
        <is>
          <t>Bacteria</t>
        </is>
      </c>
      <c r="J359" s="5" t="inlineStr">
        <is>
          <t>Steroidobacter cummioxidans 35Y</t>
        </is>
      </c>
      <c r="K359" s="5" t="inlineStr">
        <is>
          <t>RoxB</t>
        </is>
      </c>
      <c r="L359" s="5" t="inlineStr">
        <is>
          <t>NR</t>
        </is>
      </c>
      <c r="M359" s="5" t="inlineStr">
        <is>
          <t>-</t>
        </is>
      </c>
      <c r="N359" s="5" t="inlineStr">
        <is>
          <t>Tsuchii,1990</t>
        </is>
      </c>
      <c r="O359" s="5" t="inlineStr">
        <is>
          <t>A0A1S6Q8F9</t>
        </is>
      </c>
      <c r="P359" s="5" t="inlineStr">
        <is>
          <t>AQV11968.1</t>
        </is>
      </c>
      <c r="Q359" s="5" t="inlineStr">
        <is>
          <t>-</t>
        </is>
      </c>
      <c r="R359" s="5" t="inlineStr">
        <is>
          <t>A0A1S6Q8F9</t>
        </is>
      </c>
      <c r="S359" s="5" t="inlineStr">
        <is>
          <t>rubber oxygenase B</t>
        </is>
      </c>
      <c r="T359" s="5" t="inlineStr">
        <is>
          <t>Xanthomonas sp. 35Y</t>
        </is>
      </c>
      <c r="U359" s="5">
        <f>FALSE()</f>
        <v/>
      </c>
      <c r="V359" s="5">
        <f>TRUE()</f>
        <v/>
      </c>
      <c r="W359" s="5" t="inlineStr">
        <is>
          <t>MSSKQHRARAKVQRASIFVVLGLVAGHSSSTDAATDLIKSSRGGSQLWDYCEGKGDATLLPADPRSLVQPGIGTGRAVAFNAFWKDCHTDPAAVQEAGHPKTCGELRQRFYRGDGLLDTGSRTVAALFTGDNPTTIESVFGAATLTAAQYNSLWVSWGGFLLRPDNFDELVAERYGSVFGAGRNPYPKPLEDPNRTNGGTGRLPEMFTQLRNPDGSWSGRIGITCHACHSGAANGAHTPGSGSSLQDLHLLLRDAVPLGYLPSLASLANLTRTRGTNNASDINLAFLFPDQGLISISTALGVLASGSTASMDTPAWWNMGHRPVKFVDGVFPMDAPRVDMVFYTPAFGLFGSLGGPLSEAGQNWMRAHGPDANTWIESLKAPAYPGTIDTALAEQGAVLFHTLNLWASNRNNPVPKPSAGNGSCASCHGAYAPRYVNDPAFLASPALEGMAAYITPQRIIQTDPVRQQTNNEAVQIAGASNFFGYPSTAGTANDCGPQNRADLRGNRELGYLAPPLYGIWATAPYMHNGSVPNIWEVLKPSDRTPLWKRKSKTPRWDQTGRAIMGYDTSMQAYDTAKLGWKYDAIQCRRPSLLDPLPSPYLRCDPNDDLLLSWYDALLTNLYGNVILAWNVLFPPTITNTDIENRKIYNSYMFGQGNGGHTFNAVLTDNERKAIIEYLKTL</t>
        </is>
      </c>
      <c r="X359" s="5" t="n">
        <v>1</v>
      </c>
      <c r="Y359" s="5" t="inlineStr">
        <is>
          <t>RoxB</t>
        </is>
      </c>
      <c r="Z359" s="5" t="inlineStr">
        <is>
          <t>AQV11968.1</t>
        </is>
      </c>
      <c r="AA359" s="5" t="inlineStr">
        <is>
          <t>Direct</t>
        </is>
      </c>
      <c r="AB359" s="5" t="n">
        <v>125</v>
      </c>
      <c r="AC359" s="5" t="inlineStr">
        <is>
          <t>10.1128/aem.56.1.269-274.1990</t>
        </is>
      </c>
      <c r="AD359" s="5" t="inlineStr">
        <is>
          <t>MSSKQHRARAKVQRASIFVVLGLVAGHSSSTDAATDLIKSSRGGSQLWDYCEGKGDATLLPADPRSLVQPGIGTGRAVAFNAFWKDCHTDPAAVQEAGHPKTCGELRQRFYRGDGLLDTGSRTVAALFTGDNPTTIESVFGAATLTAAQYNSLWVSWGGFLLRPDNFDELVAERYGSVFGAGRNPYPKPLEDPNRTNGGTGRLPEMFTQLRNPDGSWSGRIGITCHACHSGAANGAHTPGSGSSLQDLHLLLRDAVPLGYLPSLASLANLTRTRGTNNASDINLAFLFPDQGLISISTALGVLASGSTASMDTPAWWNMGHRPVKFVDGVFPMDAPRVDMVFYTPAFGLFGSLGGPLSEAGQNWMRAHGPDANTWIESLKAPAYPGTIDTALAEQGAVLFHTLNLWASNRNNPVPKPSAGNGSCASCHGAYAPRYVNDPAFLASPALEGMAAYITPQRIIQTDPVRQQTNNEAVQIAGASNFFGYPSTAGTANDCGPQNRADLRGNRELGYLAPPLYGIWATAPYMHNGSVPNIWEVLKPSDRTPLWKRKSKTPRWDQTGRAIMGYDTSMQAYDTAKLGWKYDAIQCRRPSLLDPLPSPYLRCDPNDDLLLSWYDALLTNLYGNVILAWNVLFPPTITNTDIENRKIYNSYMFGQGNGGHTFNAVLTDNERKAIIEYLKTL</t>
        </is>
      </c>
      <c r="AE359" s="5" t="inlineStr">
        <is>
          <t>Steroidobacter cummioxidans</t>
        </is>
      </c>
      <c r="AF359" s="5" t="n">
        <v>1803913</v>
      </c>
      <c r="AG359" s="5" t="inlineStr">
        <is>
          <t>supp_unavailable</t>
        </is>
      </c>
      <c r="AH359" s="5" t="inlineStr">
        <is>
          <t>ncbi</t>
        </is>
      </c>
      <c r="AI359" s="5" t="n"/>
      <c r="AJ359" s="5" t="n"/>
      <c r="AK359" s="5" t="n"/>
      <c r="AL359" s="5" t="n">
        <v>1</v>
      </c>
    </row>
    <row r="360" ht="15" customHeight="1" s="12">
      <c r="A360" s="5" t="inlineStr">
        <is>
          <t>both</t>
        </is>
      </c>
      <c r="B360" s="5" t="inlineStr">
        <is>
          <t>MVRVFGLTLLALLVPALAAPVPEDLEARQSGCADVMVVYARGTDQDSPIGDPASVGVLFRDNIKSLLGSRTFSFQGVNYAANVIGFLQGGDPAGSRQMTTDLTNVANSCPNAKIVSAGYSQGGQLVHNSAAQLTAAVRNRINAVVIFGDPKSDQAVTGIPSSNVKIICHDGDNICEGGFIVTSQHTNYQQDAPAAAQFVLSKV</t>
        </is>
      </c>
      <c r="C360" s="5" t="n">
        <v>147</v>
      </c>
      <c r="D360" s="5" t="inlineStr">
        <is>
          <t>ESK97883.1</t>
        </is>
      </c>
      <c r="E360" s="5" t="n">
        <v>2</v>
      </c>
      <c r="F360" s="5" t="inlineStr">
        <is>
          <t>Cut</t>
        </is>
      </c>
      <c r="G360" s="5" t="inlineStr">
        <is>
          <t>Alpha/Beta Hydrolase</t>
        </is>
      </c>
      <c r="H360" s="5" t="inlineStr">
        <is>
          <t>3.40.50.1820</t>
        </is>
      </c>
      <c r="I360" s="5" t="inlineStr">
        <is>
          <t>Eukarya</t>
        </is>
      </c>
      <c r="J360" s="5" t="inlineStr">
        <is>
          <t>Moniliophthora roreri</t>
        </is>
      </c>
      <c r="K360" s="5" t="inlineStr">
        <is>
          <t>MRCUT1</t>
        </is>
      </c>
      <c r="L360" s="5" t="inlineStr">
        <is>
          <t>PET</t>
        </is>
      </c>
      <c r="M360" s="5" t="inlineStr">
        <is>
          <t>EC 3.1.1.74</t>
        </is>
      </c>
      <c r="N360" s="5" t="inlineStr">
        <is>
          <t>Vázquez-Alcántara, 2021</t>
        </is>
      </c>
      <c r="O360" s="5" t="inlineStr">
        <is>
          <t>ESK97883</t>
        </is>
      </c>
      <c r="P360" s="5" t="inlineStr">
        <is>
          <t>ESK97883</t>
        </is>
      </c>
      <c r="Q360" s="5" t="inlineStr">
        <is>
          <t>-</t>
        </is>
      </c>
      <c r="R360" s="5" t="inlineStr">
        <is>
          <t>V2XFA5</t>
        </is>
      </c>
      <c r="S360" s="5" t="inlineStr">
        <is>
          <t>cutinase</t>
        </is>
      </c>
      <c r="T360" s="5" t="inlineStr">
        <is>
          <t>Moniliophthora roreri MCA 2997</t>
        </is>
      </c>
      <c r="U360" s="5">
        <f>FALSE()</f>
        <v/>
      </c>
      <c r="V360" s="5">
        <f>TRUE()</f>
        <v/>
      </c>
      <c r="W360" s="5" t="inlineStr">
        <is>
          <t>MVRVFGLTLLALLVPALAAPVPEDLEARQSGCADVMVVYARGTDQDSPIGDPASVGVLFRDNIKSLLGSRTFSFQGVNYAANVIGFLQGGDPAGSRQMTTDLTNVANSCPNAKIVSAGYSQGGQLVHNSAAQLTAAVRNRINAVVIFGDPKSDQAVTGIPSSNVKIICHDGDNICEGGFIVTSQHTNYQQDAPAAAQFVLSKV</t>
        </is>
      </c>
      <c r="X360" s="5" t="n">
        <v>1</v>
      </c>
      <c r="Y360" s="5" t="inlineStr">
        <is>
          <t>MRCUT1</t>
        </is>
      </c>
      <c r="Z360" s="5" t="inlineStr">
        <is>
          <t>ESK97883.1</t>
        </is>
      </c>
      <c r="AA360" s="5" t="inlineStr">
        <is>
          <t>Direct</t>
        </is>
      </c>
      <c r="AB360" s="5" t="n">
        <v>183</v>
      </c>
      <c r="AC360" s="5" t="inlineStr">
        <is>
          <t>10.1128/Spectrum.00976-21</t>
        </is>
      </c>
      <c r="AD360" s="5" t="inlineStr">
        <is>
          <t>MVRVFGLTLLALLVPALAAPVPEDLEARQSGCADVMVVYARGTDQDSPIGDPASVGVLFRDNIKSLLGSRTFSFQGVNYAANVIGFLQGGDPAGSRQMTTDLTNVANSCPNAKIVSAGYSQGGQLVHNSAAQLTAAVRNRINAVVIFGDPKSDQAVTGIPSSNVKIICHDGDNICEGGFIVTSQHTNYQQDAPAAAQFVLSKV</t>
        </is>
      </c>
      <c r="AE360" s="5" t="inlineStr">
        <is>
          <t>Moniliophthora roreri</t>
        </is>
      </c>
      <c r="AF360" s="5" t="n">
        <v>221103</v>
      </c>
      <c r="AG360" s="5" t="inlineStr">
        <is>
          <t>supp_unavailable</t>
        </is>
      </c>
      <c r="AH360" s="5" t="inlineStr">
        <is>
          <t>ncbi</t>
        </is>
      </c>
      <c r="AI360" s="5" t="n"/>
      <c r="AJ360" s="5" t="n"/>
      <c r="AK360" s="5" t="n"/>
      <c r="AL360" s="5" t="n">
        <v>1</v>
      </c>
    </row>
    <row r="361" ht="15" customHeight="1" s="12">
      <c r="A361" s="5" t="inlineStr">
        <is>
          <t>both</t>
        </is>
      </c>
      <c r="B361" s="5" t="inlineStr">
        <is>
          <t>MVSLRIAKTENGYVQGLPAADPRITSFKGIPFAAPPVGENRWRAPQPAKNWDGVLKAYEFSPIPLQVRQEIDVNNIYTREWAVDPDIAMSEDCLYLNIWTPAKSPDEKLPVFVWYFGGGLQVGHASEMEFDGERIARRGIVVVTINYRLNVFGFLCHPEITAESPDAPANFGHLDQQFATQWVKRNIAAFGGDPDNITIGGQSAGGGSVLAQLTSPQNEGLFNKAIIMSGIFSPVYPGQRGPGVRETLAEAEQEGIKFFEYLGVSSLAEARKLDAVYIRDKMVEYKRFWGAVVDNKFCVGHPFERFLRNERWNVPILWGNTTDEFISRPQVGSIEELRQMAEGVFGEDADRFLALCGADSGDLEQALKAASVNTIEYAIRVASRANAAAGAGTPLYYYKFDAEIPGWDNPGTFHSVDLWFFFETLAKCWRPFVGKHYDLARQMCNYWAHFIRSGDPNGPDSTGEDLPRWEPYTEEAPYAMVFGDKSEFVREQPGEMIRFLVEQYFKRK</t>
        </is>
      </c>
      <c r="C361" s="5" t="n">
        <v>110</v>
      </c>
      <c r="D361" s="5" t="inlineStr">
        <is>
          <t>WP_015255658.1</t>
        </is>
      </c>
      <c r="E361" s="5" t="n">
        <v>23</v>
      </c>
      <c r="F361" s="5" t="inlineStr">
        <is>
          <t>Ipet</t>
        </is>
      </c>
      <c r="G361" s="5" t="inlineStr">
        <is>
          <t>Alpha/Beta Hydrolase</t>
        </is>
      </c>
      <c r="H361" s="5" t="inlineStr">
        <is>
          <t>3.40.50.1820</t>
        </is>
      </c>
      <c r="I361" s="5" t="inlineStr">
        <is>
          <t>Bacteria</t>
        </is>
      </c>
      <c r="J361" s="5" t="inlineStr">
        <is>
          <t>Thermobacillus composti KWC4</t>
        </is>
      </c>
      <c r="K361" s="5" t="inlineStr">
        <is>
          <t>Tcca</t>
        </is>
      </c>
      <c r="L361" s="5" t="inlineStr">
        <is>
          <t>PBAT</t>
        </is>
      </c>
      <c r="M361" s="5" t="inlineStr">
        <is>
          <t>-</t>
        </is>
      </c>
      <c r="N361" s="5" t="inlineStr">
        <is>
          <t>Wu, 2023</t>
        </is>
      </c>
      <c r="O361" s="5" t="inlineStr">
        <is>
          <t>L0EF70</t>
        </is>
      </c>
      <c r="P361" s="5" t="inlineStr">
        <is>
          <t>WP_015255658.1</t>
        </is>
      </c>
      <c r="Q361" s="5" t="inlineStr">
        <is>
          <t>-</t>
        </is>
      </c>
      <c r="R361" s="5" t="inlineStr">
        <is>
          <t>L0EF70</t>
        </is>
      </c>
      <c r="S361" s="5" t="inlineStr">
        <is>
          <t>carboxylesterase/lipase family protein</t>
        </is>
      </c>
      <c r="T361" s="5" t="inlineStr">
        <is>
          <t>Thermobacillus</t>
        </is>
      </c>
      <c r="U361" s="5">
        <f>FALSE()</f>
        <v/>
      </c>
      <c r="V361" s="5">
        <f>TRUE()</f>
        <v/>
      </c>
      <c r="W361" s="5" t="inlineStr">
        <is>
          <t>MVSLRIAKTENGYVQGLPAADPRITSFKGIPFAAPPVGENRWRAPQPAKNWDGVLKAYEFSPIPLQVRQEIDVNNIYTREWAVDPDIAMSEDCLYLNIWTPAKSPDEKLPVFVWYFGGGLQVGHASEMEFDGERIARRGIVVVTINYRLNVFGFLCHPEITAESPDAPANFGHLDQQFATQWVKRNIAAFGGDPDNITIGGQSAGGGSVLAQLTSPQNEGLFNKAIIMSGIFSPVYPGQRGPGVRETLAEAEQEGIKFFEYLGVSSLAEARKLDAVYIRDKMVEYKRFWGAVVDNKFCVGHPFERFLRNERWNVPILWGNTTDEFISRPQVGSIEELRQMAEGVFGEDADRFLALCGADSGDLEQALKAASVNTIEYAIRVASRANAAAGAGTPLYYYKFDAEIPGWDNPGTFHSVDLWFFFETLAKCWRPFVGKHYDLARQMCNYWAHFIRSGDPNGPDSTGEDLPRWEPYTEEAPYAMVFGDKSEFVREQPGEMIRFLVEQYFKRK</t>
        </is>
      </c>
      <c r="X361" s="5" t="n">
        <v>1</v>
      </c>
      <c r="Y361" s="5" t="inlineStr">
        <is>
          <t>Tcca</t>
        </is>
      </c>
      <c r="Z361" s="5" t="inlineStr">
        <is>
          <t>WP_015255658</t>
        </is>
      </c>
      <c r="AA361" s="5" t="inlineStr">
        <is>
          <t>Direct</t>
        </is>
      </c>
      <c r="AB361" s="5" t="n">
        <v>207</v>
      </c>
      <c r="AC361" s="5" t="inlineStr">
        <is>
          <t>10.3390/catal13020340</t>
        </is>
      </c>
      <c r="AD361" s="5" t="inlineStr">
        <is>
          <t>MVSLRIAKTENGYVQGLPAADPRITSFKGIPFAAPPVGENRWRAPQPAKNWDGVLKAYEFSPIPLQVRQEIDVNNIYTREWAVDPDIAMSEDCLYLNIWTPAKSPDEKLPVFVWYFGGGLQVGHASEMEFDGERIARRGIVVVTINYRLNVFGFLCHPEITAESPDAPANFGHLDQQFATQWVKRNIAAFGGDPDNITIGGQSAGGGSVLAQLTSPQNEGLFNKAIIMSGIFSPVYPGQRGPGVRETLAEAEQEGIKFFEYLGVSSLAEARKLDAVYIRDKMVEYKRFWGAVVDNKFCVGHPFERFLRNERWNVPILWGNTTDEFISRPQVGSIEELRQMAEGVFGEDADRFLALCGADSGDLEQALKAASVNTIEYAIRVASRANAAAGAGTPLYYYKFDAEIPGWDNPGTFHSVDLWFFFETLAKCWRPFVGKHYDLARQMCNYWAHFIRSGDPNGPDSTGEDLPRWEPYTEEAPYAMVFGDKSEFVREQPGEMIRFLVEQYFKRK</t>
        </is>
      </c>
      <c r="AE361" s="5" t="inlineStr">
        <is>
          <t>Thermobacillus composti</t>
        </is>
      </c>
      <c r="AF361" s="5" t="n">
        <v>377615</v>
      </c>
      <c r="AG361" s="5" t="inlineStr">
        <is>
          <t>supp_unavailable</t>
        </is>
      </c>
      <c r="AH361" s="5" t="inlineStr">
        <is>
          <t>ncbi</t>
        </is>
      </c>
      <c r="AI361" s="5" t="n"/>
      <c r="AJ361" s="5" t="n"/>
      <c r="AK361" s="5" t="n"/>
      <c r="AL361" s="5" t="n">
        <v>1</v>
      </c>
    </row>
    <row r="362" ht="15" customHeight="1" s="12">
      <c r="A362" s="5" t="inlineStr">
        <is>
          <t>both</t>
        </is>
      </c>
      <c r="B362" s="5" t="inlineStr">
        <is>
          <t>MVTDTHRLAPVLAAGPRRSNGDYALSPVHGTDRGQVEYDFPGVLLGTAEYAEGPTGATVLSIPAGARTFTDRRGGAVGASGLYGYNHAICLAGGSVYGLSAVAGVSEALFERAEHRSGFDQLQLVSGAIIYDYSVRENSVFPDTALGKAALQAARQGVVEVGRVGGGASASSGKVDPARVEFTGQGVAFRQVGDVKVLVVTVLNPYGVILDRSGRIIRGNYDASTGERRHPALDYEEAIGESRLVDSMSGNTTITAVVTNVQLTDTELKQFGLQVHSSMHRGIQPFHTPLDGDTLFALTTDEVALPENPSTSRGRLSLNSTAVATLAGETAWDAILCAAG</t>
        </is>
      </c>
      <c r="C362" s="5" t="n">
        <v>177</v>
      </c>
      <c r="D362" s="5" t="inlineStr">
        <is>
          <t>KQR39103.1</t>
        </is>
      </c>
      <c r="E362" s="5" t="n">
        <v>9</v>
      </c>
      <c r="F362" s="5" t="inlineStr">
        <is>
          <t>NylC</t>
        </is>
      </c>
      <c r="G362" s="5" t="inlineStr">
        <is>
          <t>L-amino peptidase D-ALA esterase/amidase</t>
        </is>
      </c>
      <c r="H362" s="5" t="inlineStr">
        <is>
          <t>3.60.70.12</t>
        </is>
      </c>
      <c r="I362" s="5" t="inlineStr">
        <is>
          <t>Bacteria</t>
        </is>
      </c>
      <c r="J362" s="5" t="inlineStr">
        <is>
          <t>Microbacterium sp.</t>
        </is>
      </c>
      <c r="K362" s="5" t="inlineStr">
        <is>
          <t>M-NylC</t>
        </is>
      </c>
      <c r="L362" s="5" t="inlineStr">
        <is>
          <t>PA</t>
        </is>
      </c>
      <c r="M362" s="5" t="inlineStr">
        <is>
          <t>-</t>
        </is>
      </c>
      <c r="N362" s="5" t="inlineStr">
        <is>
          <t>Bell, 2024</t>
        </is>
      </c>
      <c r="O362" s="5" t="inlineStr">
        <is>
          <t>KQR39103</t>
        </is>
      </c>
      <c r="P362" s="5" t="inlineStr">
        <is>
          <t>KQR39103</t>
        </is>
      </c>
      <c r="Q362" s="5" t="inlineStr">
        <is>
          <t>-</t>
        </is>
      </c>
      <c r="R362" s="5" t="inlineStr">
        <is>
          <t>A0A0Q5L8W0</t>
        </is>
      </c>
      <c r="S362" s="5" t="inlineStr">
        <is>
          <t>6-aminohexanoate hydrolase</t>
        </is>
      </c>
      <c r="T362" s="5" t="inlineStr">
        <is>
          <t>Microbacterium sp. Leaf159</t>
        </is>
      </c>
      <c r="U362" s="5">
        <f>FALSE()</f>
        <v/>
      </c>
      <c r="V362" s="5">
        <f>TRUE()</f>
        <v/>
      </c>
      <c r="W362" s="5" t="inlineStr">
        <is>
          <t>MVTDTHRLAPVLAAGPRRSNGDYALSPVHGTDRGQVEYDFPGVLLGTAEYAEGPTGATVLSIPAGARTFTDRRGGAVGASGLYGYNHAICLAGGSVYGLSAVAGVSEALFERAEHRSGFDQLQLVSGAIIYDYSVRENSVFPDTALGKAALQAARQGVVEVGRVGGGASASSGKVDPARVEFTGQGVAFRQVGDVKVLVVTVLNPYGVILDRSGRIIRGNYDASTGERRHPALDYEEAIGESRLVDSMSGNTTITAVVTNVQLTDTELKQFGLQVHSSMHRGIQPFHTPLDGDTLFALTTDEVALPENPSTSRGRLSLNSTAVATLAGETAWDAILCAAG</t>
        </is>
      </c>
      <c r="X362" s="5" t="n">
        <v>1</v>
      </c>
      <c r="Y362" s="5" t="inlineStr">
        <is>
          <t>M-NylC</t>
        </is>
      </c>
      <c r="Z362" s="5" t="inlineStr">
        <is>
          <t>KQR39103</t>
        </is>
      </c>
      <c r="AA362" s="5" t="inlineStr">
        <is>
          <t>Direct</t>
        </is>
      </c>
      <c r="AB362" s="5" t="n">
        <v>218</v>
      </c>
      <c r="AC362" s="5" t="inlineStr">
        <is>
          <t>10.1038/s41467-024-45523-5</t>
        </is>
      </c>
      <c r="AD362" s="5" t="inlineStr">
        <is>
          <t>MVTDTHRLAPVLAAGPRRSNGDYALSPVHGTDRGQVEYDFPGVLLGTAEYAEGPTGATVLSIPAGARTFTDRRGGAVGASGLYGYNHAICLAGGSVYGLSAVAGVSEALFERAEHRSGFDQLQLVSGAIIYDYSVRENSVFPDTALGKAALQAARQGVVEVGRVGGGASASSGKVDPARVEFTGQGVAFRQVGDVKVLVVTVLNPYGVILDRSGRIIRGNYDASTGERRHPALDYEEAIGESRLVDSMSGNTTITAVVTNVQLTDTELKQFGLQVHSSMHRGIQPFHTPLDGDTLFALTTDEVALPENPSTSRGRLSLNSTAVATLAGETAWDAILCAAG</t>
        </is>
      </c>
      <c r="AE362" s="5" t="inlineStr">
        <is>
          <t>Microbacterium sp.</t>
        </is>
      </c>
      <c r="AF362" s="5" t="n">
        <v>51671</v>
      </c>
      <c r="AG362" s="5" t="inlineStr">
        <is>
          <t>supp_unavailable</t>
        </is>
      </c>
      <c r="AH362" s="5" t="inlineStr">
        <is>
          <t>ncbi</t>
        </is>
      </c>
      <c r="AI362" s="5" t="n"/>
      <c r="AJ362" s="5" t="n"/>
      <c r="AK362" s="5" t="n"/>
      <c r="AL362" s="5" t="n">
        <v>1</v>
      </c>
    </row>
    <row r="363" ht="15" customHeight="1" s="12">
      <c r="A363" s="5" t="inlineStr">
        <is>
          <t>both</t>
        </is>
      </c>
      <c r="B363" s="5" t="inlineStr">
        <is>
          <t>MVTVNEVSDEARLRALVDRVTGLMTELGVPGVAVGILHGDREYTAGFGVTSLENPLPVTAGTLFQVGSITKTFTGTALMRLVEAGRIRLEDPVRKYLPDFRVKDASVSAAVTVRHLLTHTGGWVGDYFEDFGLGDDALARMVAAMADLPQITPPDTVWAYNNAGFYVAGRIVEVVTGKPYESALRELVLDPLDLEHAYFFAHDVISYRFAVGHLTGEAGPFVARPWALPRCANPVGGLITSVRELFKYARFHLGSGPNILSAEARRLMQTPAGAADAGRLMGITWFIQPVDGDIRLVGHGGGTNGQITLFNFVPGRNFAVCVLTNSDRGGAINAEVTRWAVESFLGAAWPEPEIYSLPPERLATWAGRYEGVLSDIELVLEGDWLVLKQTPKGGFPRKDSPPRPAPPPSRLGFYAPDRVVALDLPLKGSRGEFLRGPDGSIAWFRFGGRLFRPGQ</t>
        </is>
      </c>
      <c r="C363" s="5" t="n">
        <v>174</v>
      </c>
      <c r="D363" s="5" t="inlineStr">
        <is>
          <t>UNZ81747.1</t>
        </is>
      </c>
      <c r="E363" s="5" t="n">
        <v>43</v>
      </c>
      <c r="F363" s="5" t="inlineStr">
        <is>
          <t>NylB</t>
        </is>
      </c>
      <c r="G363" s="5" t="inlineStr">
        <is>
          <t xml:space="preserve">DD-peptidase/beta-lactamase </t>
        </is>
      </c>
      <c r="H363" s="5" t="inlineStr">
        <is>
          <t>3.40.710.10</t>
        </is>
      </c>
      <c r="I363" s="5" t="inlineStr">
        <is>
          <t>Bacteria</t>
        </is>
      </c>
      <c r="J363" s="5" t="inlineStr">
        <is>
          <t>Dehalococcoidia bacterium</t>
        </is>
      </c>
      <c r="K363" s="5" t="inlineStr">
        <is>
          <t>IS113</t>
        </is>
      </c>
      <c r="L363" s="5" t="inlineStr">
        <is>
          <t>PET</t>
        </is>
      </c>
      <c r="M363" s="5" t="inlineStr">
        <is>
          <t>-</t>
        </is>
      </c>
      <c r="N363" s="5" t="inlineStr">
        <is>
          <t>Distaso, 2023</t>
        </is>
      </c>
      <c r="O363" s="5" t="inlineStr">
        <is>
          <t>UNZ81747</t>
        </is>
      </c>
      <c r="P363" s="5" t="inlineStr">
        <is>
          <t>UNZ81747</t>
        </is>
      </c>
      <c r="Q363" s="5" t="inlineStr">
        <is>
          <t>-</t>
        </is>
      </c>
      <c r="R363" s="5" t="inlineStr">
        <is>
          <t>-</t>
        </is>
      </c>
      <c r="S363" s="5" t="inlineStr">
        <is>
          <t>beta-lactamase</t>
        </is>
      </c>
      <c r="T363" s="5" t="inlineStr">
        <is>
          <t>Dehalococcoidia bacterium enrichment culture</t>
        </is>
      </c>
      <c r="U363" s="5">
        <f>FALSE()</f>
        <v/>
      </c>
      <c r="V363" s="5">
        <f>TRUE()</f>
        <v/>
      </c>
      <c r="W363" s="5" t="inlineStr">
        <is>
          <t>MVTVNEVSDEARLRALVDRVTGLMTELGVPGVAVGILHGDREYTAGFGVTSLENPLPVTAGTLFQVGSITKTFTGTALMRLVEAGRIRLEDPVRKYLPDFRVKDASVSAAVTVRHLLTHTGGWVGDYFEDFGLGDDALARMVAAMADLPQITPPDTVWAYNNAGFYVAGRIVEVVTGKPYESALRELVLDPLDLEHAYFFAHDVISYRFAVGHLTGEAGPFVARPWALPRCANPVGGLITSVRELFKYARFHLGSGPNILSAEARRLMQTPAGAADAGRLMGITWFIQPVDGDIRLVGHGGGTNGQITLFNFVPGRNFAVCVLTNSDRGGAINAEVTRWAVESFLGAAWPEPEIYSLPPERLATWAGRYEGVLSDIELVLEGDWLVLKQTPKGGFPRKDSPPRPAPPPSRLGFYAPDRVVALDLPLKGSRGEFLRGPDGSIAWFRFGGRLFRPGQ</t>
        </is>
      </c>
      <c r="X363" s="5" t="n">
        <v>1</v>
      </c>
      <c r="Y363" s="5" t="inlineStr">
        <is>
          <t>C033</t>
        </is>
      </c>
      <c r="Z363" s="5" t="inlineStr">
        <is>
          <t>UNZ81747.1</t>
        </is>
      </c>
      <c r="AA363" s="5" t="inlineStr">
        <is>
          <t>Direct</t>
        </is>
      </c>
      <c r="AB363" s="5" t="n">
        <v>187</v>
      </c>
      <c r="AC363" s="5" t="inlineStr">
        <is>
          <t>10.1128/aem.01704-22</t>
        </is>
      </c>
      <c r="AD363" s="5" t="inlineStr">
        <is>
          <t>MVTVNEVSDEARLRALVDRVTGLMTELGVPGVAVGILHGDREYTAGFGVTSLENPLPVTAGTLFQVGSITKTFTGTALMRLVEAGRIRLEDPVRKYLPDFRVKDASVSAAVTVRHLLTHTGGWVGDYFEDFGLGDDALARMVAAMADLPQITPPDTVWAYNNAGFYVAGRIVEVVTGKPYESALRELVLDPLDLEHAYFFAHDVISYRFAVGHLTGEAGPFVARPWALPRCANPVGGLITSVRELFKYARFHLGSGPNILSAEARRLMQTPAGAADAGRLMGITWFIQPVDGDIRLVGHGGGTNGQITLFNFVPGRNFAVCVLTNSDRGGAINAEVTRWAVESFLGAAWPEPEIYSLPPERLATWAGRYEGVLSDIELVLEGDWLVLKQTPKGGFPRKDSPPRPAPPPSRLGFYAPDRVVALDLPLKGSRGEFLRGPDGSIAWFRFGGRLFRPGQ</t>
        </is>
      </c>
      <c r="AE363" s="5" t="inlineStr">
        <is>
          <t>Dehalococcoidia bacterium</t>
        </is>
      </c>
      <c r="AF363" s="5" t="n">
        <v>2026734</v>
      </c>
      <c r="AG363" s="5" t="inlineStr">
        <is>
          <t>supp_unavailable</t>
        </is>
      </c>
      <c r="AH363" s="5" t="inlineStr">
        <is>
          <t>ncbi</t>
        </is>
      </c>
      <c r="AI363" s="5" t="n"/>
      <c r="AJ363" s="5" t="n"/>
      <c r="AK363" s="5" t="n"/>
      <c r="AL363" s="5" t="n">
        <v>1</v>
      </c>
    </row>
    <row r="364" ht="15" customHeight="1" s="12">
      <c r="A364" s="5" t="inlineStr">
        <is>
          <t>both</t>
        </is>
      </c>
      <c r="B364" s="5" t="inlineStr">
        <is>
          <t>MSDLVWSRDGLDWPHREASRFIEAGGFRWHVQRMGSPAAPAILLIHGTGAASHSWRGLAPLLSRHYHVVAPDLPGHGFTQTPRGHRMSLPGMASDLAALLRVLQVAPQLVVGHSAGAAILARMCLDGSIDPKILFSLNGAFLPYGGPAASFFSPLAKMLVMNPFVPSLFAWQAGHRGAVERLIGNTGSTIDPAGIKLYGKLVSSPNHVAAALRMMANWDLEPLLKALPNLKPLLVLVAAEGDRAIPPSVAVKVREILPKAVIERIPALGHLAHEERPALIAALIERYAEKLENIE</t>
        </is>
      </c>
      <c r="C364" s="5" t="n">
        <v>169</v>
      </c>
      <c r="D364" s="5" t="inlineStr">
        <is>
          <t>CAE26953.1</t>
        </is>
      </c>
      <c r="E364" s="5" t="n">
        <v>6</v>
      </c>
      <c r="F364" s="5" t="inlineStr">
        <is>
          <t>Rpla</t>
        </is>
      </c>
      <c r="G364" s="5" t="inlineStr">
        <is>
          <t>Alpha/Beta Hydrolase</t>
        </is>
      </c>
      <c r="H364" s="5" t="inlineStr">
        <is>
          <t>3.40.50.1820</t>
        </is>
      </c>
      <c r="I364" s="5" t="inlineStr">
        <is>
          <t>Bacteria</t>
        </is>
      </c>
      <c r="J364" s="5" t="inlineStr">
        <is>
          <t>Rhodopseudomonas palustris</t>
        </is>
      </c>
      <c r="K364" s="5" t="inlineStr">
        <is>
          <t>RPA1511, esterase</t>
        </is>
      </c>
      <c r="L364" s="5" t="inlineStr">
        <is>
          <t>PLA</t>
        </is>
      </c>
      <c r="M364" s="5" t="inlineStr">
        <is>
          <t>EC 3.1.1.1</t>
        </is>
      </c>
      <c r="N364" s="5" t="inlineStr">
        <is>
          <t>Hajhigasemi, 2016; Xie, 2024</t>
        </is>
      </c>
      <c r="O364" s="5" t="inlineStr">
        <is>
          <t>Q6N9M9; RPA1511</t>
        </is>
      </c>
      <c r="P364" s="5" t="inlineStr">
        <is>
          <t>CAE26953.1</t>
        </is>
      </c>
      <c r="Q364" s="5" t="inlineStr">
        <is>
          <t>4PSU</t>
        </is>
      </c>
      <c r="R364" s="5" t="inlineStr">
        <is>
          <t>Q6N9M9</t>
        </is>
      </c>
      <c r="S364" s="5" t="inlineStr">
        <is>
          <t>Alpha/beta hydrolase fold</t>
        </is>
      </c>
      <c r="T364" s="5" t="inlineStr">
        <is>
          <t>Rhodopseudomonas palustris CGA009</t>
        </is>
      </c>
      <c r="U364" s="5">
        <f>FALSE()</f>
        <v/>
      </c>
      <c r="V364" s="5">
        <f>TRUE()</f>
        <v/>
      </c>
      <c r="W364" s="5" t="inlineStr">
        <is>
          <t>MSDLVWSRDGLDWPHREASRFIEAGGFRWHVQRMGSPAAPAILLIHGTGAASHSWRGLAPLLSRHYHVVAPDLPGHGFTQTPRGHRMSLPGMASDLAALLRVLQVAPQLVVGHSAGAAILARMCLDGSIDPKILFSLNGAFLPYGGPAASFFSPLAKMLVMNPFVPSLFAWQAGHRGAVERLIGNTGSTIDPAGIKLYGKLVSSPNHVAAALRMMANWDLEPLLKALPNLKPLLVLVAAEGDRAIPPSVAVKVREILPKAVIERIPALGHLAHEERPALIAALIERYAEKLENIE</t>
        </is>
      </c>
      <c r="X364" s="5" t="n">
        <v>1</v>
      </c>
      <c r="Y364" s="5" t="inlineStr">
        <is>
          <t>RPA1511</t>
        </is>
      </c>
      <c r="Z364" s="5" t="inlineStr">
        <is>
          <t>WP_011157072.1</t>
        </is>
      </c>
      <c r="AA364" s="5" t="inlineStr">
        <is>
          <t>Direct</t>
        </is>
      </c>
      <c r="AB364" s="5" t="n">
        <v>75</v>
      </c>
      <c r="AC364" s="5" t="inlineStr">
        <is>
          <t>10.1021%2Facs.biomac.6b00223</t>
        </is>
      </c>
      <c r="AD364" s="5" t="inlineStr">
        <is>
          <t>MSDLVWSRDGLDWPHREASRFIEAGGFRWHVQRMGSPAAPAILLIHGTGAASHSWRGLAPLLSRHYHVVAPDLPGHGFTQTPRGHRMSLPGMASDLAALLRVLQVAPQLVVGHSAGAAILARMCLDGSIDPKILFSLNGAFLPYGGPAASFFSPLAKMLVMNPFVPSLFAWQAGHRGAVERLIGNTGSTIDPAGIKLYGKLVSSPNHVAAALRMMANWDLEPLLKALPNLKPLLVLVAAEGDRAIPPSVAVKVREILPKAVIERIPALGHLAHEERPALIAALIERYAEKLENIE</t>
        </is>
      </c>
      <c r="AE364" s="5" t="inlineStr">
        <is>
          <t>Rhodopseudomonas palustris</t>
        </is>
      </c>
      <c r="AF364" s="5" t="n">
        <v>1076</v>
      </c>
      <c r="AG364" s="5" t="inlineStr">
        <is>
          <t>supp_unavailable</t>
        </is>
      </c>
      <c r="AH364" s="5" t="inlineStr">
        <is>
          <t>ncbi</t>
        </is>
      </c>
      <c r="AI364" s="5" t="n"/>
      <c r="AJ364" s="5" t="n"/>
      <c r="AK364" s="5" t="n"/>
      <c r="AL364" s="5" t="n">
        <v>1</v>
      </c>
    </row>
    <row r="365" ht="15" customHeight="1" s="12">
      <c r="A365" s="5" t="inlineStr">
        <is>
          <t>both</t>
        </is>
      </c>
      <c r="B365" s="5" t="inlineStr">
        <is>
          <t>MSELSAIETAAAIAGGSMTALEACDAAIARIEQRDGPINAVVVRDFDRARDAAKAADAEIAAAVRKPLLGVPMTIKESFDIAGLPTSWGFAEHADHIATADSLVVSRLKAAGAVFLGKSNIPVGLADWQSVNPNYGRTNNPHDHSRSAGGSSGGAAAALAAGMVPLEYGSDIGGSIRVPAHFCGVWGLKTTFDAVSLEGHYFPRTDSAKADLSVVGPMARTPADLALALDITSKVPLPQSRIANLSGLRILLLTAHPETVADSATISAVERAAAACEASGATVATSSPDLPDLSALVADYTRMLLVVLARGLAPEGTEPVSLNAWYAMLDDQARMMRAFDRLFESFDAIFCPVLGTTAFAHSDEPDWAKRSLSIDGGIAPFAAQLGWISMATYGGMPALSMPLGADGNGLPINLQIITRNWSDHDAIRIGALVAEALDR</t>
        </is>
      </c>
      <c r="C365" s="5" t="n">
        <v>191</v>
      </c>
      <c r="D365" s="5" t="inlineStr">
        <is>
          <t>WBR49957.1</t>
        </is>
      </c>
      <c r="E365" s="5" t="n">
        <v>10</v>
      </c>
      <c r="F365" s="5" t="inlineStr">
        <is>
          <t>NylA</t>
        </is>
      </c>
      <c r="G365" s="5" t="inlineStr">
        <is>
          <t>Amidase signature</t>
        </is>
      </c>
      <c r="H365" s="5" t="inlineStr">
        <is>
          <t>3.90.1300.10</t>
        </is>
      </c>
      <c r="I365" s="5" t="inlineStr">
        <is>
          <t>Bacteria</t>
        </is>
      </c>
      <c r="J365" s="5" t="inlineStr">
        <is>
          <t>Metagenome</t>
        </is>
      </c>
      <c r="K365" s="5" t="inlineStr">
        <is>
          <t>UMG-SP-2</t>
        </is>
      </c>
      <c r="L365" s="5" t="inlineStr">
        <is>
          <t>PA; PUR</t>
        </is>
      </c>
      <c r="M365" s="5" t="inlineStr">
        <is>
          <t>-</t>
        </is>
      </c>
      <c r="N365" s="5" t="inlineStr">
        <is>
          <t>Bell, 2024; Branson, 2022</t>
        </is>
      </c>
      <c r="O365" s="5" t="inlineStr">
        <is>
          <t>WBR49957</t>
        </is>
      </c>
      <c r="P365" s="5" t="inlineStr">
        <is>
          <t>WBR49957</t>
        </is>
      </c>
      <c r="Q365" s="5" t="inlineStr">
        <is>
          <t>-</t>
        </is>
      </c>
      <c r="R365" s="5" t="inlineStr">
        <is>
          <t>-</t>
        </is>
      </c>
      <c r="S365" s="5" t="inlineStr">
        <is>
          <t>urethanase</t>
        </is>
      </c>
      <c r="T365" s="5" t="inlineStr">
        <is>
          <t>uncultured bacterium</t>
        </is>
      </c>
      <c r="U365" s="5">
        <f>FALSE()</f>
        <v/>
      </c>
      <c r="V365" s="5">
        <f>TRUE()</f>
        <v/>
      </c>
      <c r="W365" s="5" t="inlineStr">
        <is>
          <t>MSELSAIETAAAIAGGSMTALEACDAAIARIEQRDGPINAVVVRDFDRARDAAKAADAEIAAAVRKPLLGVPMTIKESFDIAGLPTSWGFAEHADHIATADSLVVSRLKAAGAVFLGKSNIPVGLADWQSVNPNYGRTNNPHDHSRSAGGSSGGAAAALAAGMVPLEYGSDIGGSIRVPAHFCGVWGLKTTFDAVSLEGHYFPRTDSAKADLSVVGPMARTPADLALALDITSKVPLPQSRIANLSGLRILLLTAHPETVADSATISAVERAAAACEASGATVATSSPDLPDLSALVADYTRMLLVVLARGLAPEGTEPVSLNAWYAMLDDQARMMRAFDRLFESFDAIFCPVLGTTAFAHSDEPDWAKRSLSIDGGIAPFAAQLGWISMATYGGMPALSMPLGADGNGLPINLQIITRNWSDHDAIRIGALVAEALDR</t>
        </is>
      </c>
      <c r="X365" s="5" t="n">
        <v>1</v>
      </c>
      <c r="Y365" s="5" t="inlineStr">
        <is>
          <t>UMG-SP-2</t>
        </is>
      </c>
      <c r="Z365" s="5" t="inlineStr">
        <is>
          <t>OP972510</t>
        </is>
      </c>
      <c r="AA365" s="5" t="inlineStr">
        <is>
          <t>Direct</t>
        </is>
      </c>
      <c r="AB365" s="5" t="n">
        <v>156</v>
      </c>
      <c r="AC365" s="5" t="inlineStr">
        <is>
          <t>10.1002/anie.202216220; 10.1038/s41467-024-45523-5</t>
        </is>
      </c>
      <c r="AD365" s="5" t="inlineStr">
        <is>
          <t>MSELSAIETAAAIAGGSMTALEACDAAIARIEQRDGPINAVVVRDFDRARDAAKAADAEIAAAVRKPLLGVPMTIKESFDIAGLPTSWGFAEHADHIATADSLVVSRLKAAGAVFLGKSNIPVGLADWQSVNPNYGRTNNPHDHSRSAGGSSGGAAAALAAGMVPLEYGSDIGGSIRVPAHFCGVWGLKTTFDAVSLEGHYFPRTDSAKADLSVVGPMARTPADLALALDITSKVPLPQSRIANLSGLRILLLTAHPETVADSATISAVERAAAACEASGATVATSSPDLPDLSALVADYTRMLLVVLARGLAPEGTEPVSLNAWYAMLDDQARMMRAFDRLFESFDAIFCPVLGTTAFAHSDEPDWAKRSLSIDGGIAPFAAQLGWISMATYGGMPALSMPLGADGNGLPINLQIITRNWSDHDAIRIGALVAEALDR</t>
        </is>
      </c>
      <c r="AE365" s="5" t="inlineStr">
        <is>
          <t>Environmental sample</t>
        </is>
      </c>
      <c r="AF365" s="5" t="n"/>
      <c r="AG365" s="5" t="inlineStr">
        <is>
          <t>no_sequence</t>
        </is>
      </c>
      <c r="AH365" s="5" t="n"/>
      <c r="AI365" s="5" t="inlineStr">
        <is>
          <t>WBR49957.1</t>
        </is>
      </c>
      <c r="AJ365" s="5" t="inlineStr">
        <is>
          <t>MSELSAIETAAAIAGGSMTALEACDAAIARIEQRDGPINAVVVRDFDRARDAAKAADAEIAAAVRKPLLGVPMTIKESFDIAGLPTSWGFAEHADHIATADSLVVSRLKAAGAVFLGKSNIPVGLADWQSVNPNYGRTNNPHDHSRSAGGSSGGAAAALAAGMVPLEYGSDIGGSIRVPAHFCGVWGLKTTFDAVSLEGHYFPRTDSAKADLSVVGPMARTPADLALALDITSKVPLPQSRIANLSGLRILLLTAHPETVADSATISAVERAAAACEASGATVATSSPDLPDLSALVADYTRMLLVVLARGLAPEGTEPVSLNAWYAMLDDQARMMRAFDRLFESFDAIFCPVLGTTAFAHSDEPDWAKRSLSIDGGIAPFAAQLGWISMATYGGMPALSMPLGADGNGLPINLQIITRNWSDHDAIRIGALVAEALDR</t>
        </is>
      </c>
      <c r="AK365" s="5" t="inlineStr">
        <is>
          <t>Took the aa sequence for the CDS</t>
        </is>
      </c>
      <c r="AL365" s="5" t="n">
        <v>1</v>
      </c>
    </row>
    <row r="366" ht="15" customHeight="1" s="12">
      <c r="A366" s="5" t="inlineStr">
        <is>
          <t>both</t>
        </is>
      </c>
      <c r="B366" s="5" t="inlineStr">
        <is>
          <t>MSELSAIETAAAIAGGSMTALEACDAAIARIEQRDGPINAVVVRDFDRAREAAKAADGEVAAGVSKPLLGVPMTIKESIDIAGLPTSWGFAEHADHIATADSVVVSRLKAAGAVFLGKTNIPVALADWQSSNPNYGRTNNPHDLTRSAGGSSGGAAAALAAGMVPLEYGSDIGGSIRVPAHFCGVWGLKTTFDAVSLEGHYLPRTDGARGELGVVGPMARNPQDLALALDLTSRIALPIARIDTLNGLRILLLTHHPRAAADSAVVAAVEKAAESCAAQGAQVSTSNADLPDLSKLVSDYTRMLLIVLAQGKAPEGTEPVSLNAWYGMLDDQARTIRGFDRLFDSFDAIFCPVLGTSAFPHSDEADWGKRTLTIDGADTPFGSQLAWISMATYCGMPALSMPVGTDANGLPIGLQIITRNWSDHDAVRIGALVADALAA</t>
        </is>
      </c>
      <c r="C366" s="5" t="n">
        <v>192</v>
      </c>
      <c r="D366" s="5" t="inlineStr">
        <is>
          <t>WBR49958.1</t>
        </is>
      </c>
      <c r="E366" s="5" t="n">
        <v>10</v>
      </c>
      <c r="F366" s="5" t="inlineStr">
        <is>
          <t>NylA</t>
        </is>
      </c>
      <c r="G366" s="5" t="inlineStr">
        <is>
          <t>Amidase signature</t>
        </is>
      </c>
      <c r="H366" s="5" t="inlineStr">
        <is>
          <t>3.90.1300.10</t>
        </is>
      </c>
      <c r="I366" s="5" t="inlineStr">
        <is>
          <t>Bacteria</t>
        </is>
      </c>
      <c r="J366" s="5" t="inlineStr">
        <is>
          <t>Metagenome</t>
        </is>
      </c>
      <c r="K366" s="5" t="inlineStr">
        <is>
          <t>UMG-SP-3</t>
        </is>
      </c>
      <c r="L366" s="5" t="inlineStr">
        <is>
          <t>PA; PUR</t>
        </is>
      </c>
      <c r="M366" s="5" t="inlineStr">
        <is>
          <t>-</t>
        </is>
      </c>
      <c r="N366" s="5" t="inlineStr">
        <is>
          <t>Bell, 2024; Branson, 2022</t>
        </is>
      </c>
      <c r="O366" s="5" t="inlineStr">
        <is>
          <t>WBR49958</t>
        </is>
      </c>
      <c r="P366" s="5" t="inlineStr">
        <is>
          <t>WBR49958</t>
        </is>
      </c>
      <c r="Q366" s="5" t="inlineStr">
        <is>
          <t>-</t>
        </is>
      </c>
      <c r="R366" s="5" t="inlineStr">
        <is>
          <t>-</t>
        </is>
      </c>
      <c r="S366" s="5" t="inlineStr">
        <is>
          <t>urethanase</t>
        </is>
      </c>
      <c r="T366" s="5" t="inlineStr">
        <is>
          <t>uncultured bacterium</t>
        </is>
      </c>
      <c r="U366" s="5">
        <f>FALSE()</f>
        <v/>
      </c>
      <c r="V366" s="5">
        <f>TRUE()</f>
        <v/>
      </c>
      <c r="W366" s="5" t="inlineStr">
        <is>
          <t>MSELSAIETAAAIAGGSMTALEACDAAIARIEQRDGPINAVVVRDFDRAREAAKAADGEVAAGVSKPLLGVPMTIKESIDIAGLPTSWGFAEHADHIATADSVVVSRLKAAGAVFLGKTNIPVALADWQSSNPNYGRTNNPHDLTRSAGGSSGGAAAALAAGMVPLEYGSDIGGSIRVPAHFCGVWGLKTTFDAVSLEGHYLPRTDGARGELGVVGPMARNPQDLALALDLTSRIALPIARIDTLNGLRILLLTHHPRAAADSAVVAAVEKAAESCAAQGAQVSTSNADLPDLSKLVSDYTRMLLIVLAQGKAPEGTEPVSLNAWYGMLDDQARTIRGFDRLFDSFDAIFCPVLGTSAFPHSDEADWGKRTLTIDGADTPFGSQLAWISMATYCGMPALSMPVGTDANGLPIGLQIITRNWSDHDAVRIGALVADALAA</t>
        </is>
      </c>
      <c r="X366" s="5" t="n">
        <v>1</v>
      </c>
      <c r="Y366" s="5" t="inlineStr">
        <is>
          <t>UMG-SP-3</t>
        </is>
      </c>
      <c r="Z366" s="5" t="inlineStr">
        <is>
          <t>OP972511</t>
        </is>
      </c>
      <c r="AA366" s="5" t="inlineStr">
        <is>
          <t>Direct</t>
        </is>
      </c>
      <c r="AB366" s="5" t="n">
        <v>157</v>
      </c>
      <c r="AC366" s="5" t="inlineStr">
        <is>
          <t>10.1002/anie.202216220; 10.1038/s41467-024-45523-5</t>
        </is>
      </c>
      <c r="AD366" s="9" t="inlineStr">
        <is>
          <t xml:space="preserve">MSELSAIETAAAIAGGSMTALEACDAAIARIEQRDGPINAVVVRDFDRAREAAKAADGEVAAGVSKPLLGVPMTIKESIDIAGLPTSWGFAEHADHIATADSVVVSRLKAAGAVFLGKTNIPVALADWQSSNPNYGRTNNPHDLTRSAGGSSGGAAAALAAGMVPLEYGSDIGGSIRVPAHFCGVWGLKTTFDAVSLEGHYLPRTDGARGELGVVGPMARNPQDLALALDLTSRIALPIARIDTLNGLRILLLTHHPRAAADSAVVAAVEKAAESCAAQGAQVSTSNADLPDLSKLVSDYTRMLLIVLAQGKAPEGTEPVSLNAWYGMLDDQARTIRGFDRLFDSFDAIFCPVLGTSAFPHSDEADWGKRTLTIDGADTPFGSQLAWISMATYCGMPALSMPVGTDANGLPIGLQIITRNWSDHDAVRIGALVADALAA
</t>
        </is>
      </c>
      <c r="AE366" s="5" t="inlineStr">
        <is>
          <t>Environmental sample</t>
        </is>
      </c>
      <c r="AF366" s="5" t="n"/>
      <c r="AG366" s="5" t="inlineStr">
        <is>
          <t>no_sequence</t>
        </is>
      </c>
      <c r="AH366" s="5" t="n"/>
      <c r="AI366" s="5" t="inlineStr">
        <is>
          <t>WBR49958.1</t>
        </is>
      </c>
      <c r="AJ366" s="9" t="inlineStr">
        <is>
          <t xml:space="preserve">MSELSAIETAAAIAGGSMTALEACDAAIARIEQRDGPINAVVVRDFDRAREAAKAADGEVAAGVSKPLLGVPMTIKESIDIAGLPTSWGFAEHADHIATADSVVVSRLKAAGAVFLGKTNIPVALADWQSSNPNYGRTNNPHDLTRSAGGSSGGAAAALAAGMVPLEYGSDIGGSIRVPAHFCGVWGLKTTFDAVSLEGHYLPRTDGARGELGVVGPMARNPQDLALALDLTSRIALPIARIDTLNGLRILLLTHHPRAAADSAVVAAVEKAAESCAAQGAQVSTSNADLPDLSKLVSDYTRMLLIVLAQGKAPEGTEPVSLNAWYGMLDDQARTIRGFDRLFDSFDAIFCPVLGTSAFPHSDEADWGKRTLTIDGADTPFGSQLAWISMATYCGMPALSMPVGTDANGLPIGLQIITRNWSDHDAVRIGALVADALAA
</t>
        </is>
      </c>
      <c r="AK366" s="5" t="inlineStr">
        <is>
          <t>Took the aa sequence for the CDS</t>
        </is>
      </c>
      <c r="AL366" s="5" t="n">
        <v>1</v>
      </c>
    </row>
    <row r="367" ht="15" customHeight="1" s="12">
      <c r="A367" s="5" t="inlineStr">
        <is>
          <t>both</t>
        </is>
      </c>
      <c r="B367" s="5" t="inlineStr">
        <is>
          <t>MSETSSASALPAYARIVVDKRAPFIRAILYLILRYVIKRSMKPDADILKLRAMQLRADQKYAHPAADAVMTPVDCDGVKANWITLPGARPERVIFYLHGGAWMFNFPRTYAAMLGRWARLLNARVLMVDYRLAPEHRYPAGANDCETAYRWLLAQGIDSKQIVIGGDSAGGNLTLTTLLRLKSANQPLPACAVALSPFVDFTLSSPSMITNEKIDPMFTLEAMLGLRPHYLDPQDFLNVDASPIFGDFSGLPPIFFQSSNTEMLRDESVRAAARAHQHGVTVELELWQHLPHVFQALQKLPQADAALQSIVRFINSHTGWQA</t>
        </is>
      </c>
      <c r="C367" s="5" t="n">
        <v>100</v>
      </c>
      <c r="D367" s="5" t="inlineStr">
        <is>
          <t>AKJ87216.1</t>
        </is>
      </c>
      <c r="E367" s="5" t="n">
        <v>23</v>
      </c>
      <c r="F367" s="5" t="inlineStr">
        <is>
          <t>Ipet</t>
        </is>
      </c>
      <c r="G367" s="5" t="inlineStr">
        <is>
          <t>Alpha/Beta Hydrolase</t>
        </is>
      </c>
      <c r="H367" s="5" t="inlineStr">
        <is>
          <t>3.40.50.1820</t>
        </is>
      </c>
      <c r="I367" s="5" t="inlineStr">
        <is>
          <t>Metagenome</t>
        </is>
      </c>
      <c r="J367" s="5" t="inlineStr">
        <is>
          <t>Metagenome</t>
        </is>
      </c>
      <c r="K367" s="5" t="inlineStr">
        <is>
          <t>GEN0105</t>
        </is>
      </c>
      <c r="L367" s="5" t="inlineStr">
        <is>
          <t>PLA</t>
        </is>
      </c>
      <c r="M367" s="5" t="inlineStr">
        <is>
          <t>EC 3.1.1.1</t>
        </is>
      </c>
      <c r="N367" s="5" t="inlineStr">
        <is>
          <t>Hajighasemi, 2018</t>
        </is>
      </c>
      <c r="O367" s="5" t="inlineStr">
        <is>
          <t>AKJ87216</t>
        </is>
      </c>
      <c r="P367" s="5" t="inlineStr">
        <is>
          <t>-</t>
        </is>
      </c>
      <c r="Q367" s="5" t="inlineStr">
        <is>
          <t>-</t>
        </is>
      </c>
      <c r="R367" s="5" t="inlineStr">
        <is>
          <t>A0A0G3FJ39</t>
        </is>
      </c>
      <c r="S367" s="5" t="inlineStr">
        <is>
          <t>hypothetical protein</t>
        </is>
      </c>
      <c r="T367" s="5" t="inlineStr">
        <is>
          <t>uncultured organism</t>
        </is>
      </c>
      <c r="U367" s="5">
        <f>FALSE()</f>
        <v/>
      </c>
      <c r="V367" s="5">
        <f>TRUE()</f>
        <v/>
      </c>
      <c r="W367" s="5" t="inlineStr">
        <is>
          <t>MSETSSASALPAYARIVVDKRAPFIRAILYLILRYVIKRSMKPDADILKLRAMQLRADQKYAHPAADAVMTPVDCDGVKANWITLPGARPERVIFYLHGGAWMFNFPRTYAAMLGRWARLLNARVLMVDYRLAPEHRYPAGANDCETAYRWLLAQGIDSKQIVIGGDSAGGNLTLTTLLRLKSANQPLPACAVALSPFVDFTLSSPSMITNEKIDPMFTLEAMLGLRPHYLDPQDFLNVDASPIFGDFSGLPPIFFQSSNTEMLRDESVRAAARAHQHGVTVELELWQHLPHVFQALQKLPQADAALQSIVRFINSHTGWQA</t>
        </is>
      </c>
      <c r="X367" s="5" t="n">
        <v>1</v>
      </c>
      <c r="Y367" s="5" t="inlineStr">
        <is>
          <t>GEN0105</t>
        </is>
      </c>
      <c r="Z367" s="5" t="inlineStr">
        <is>
          <t>AKJ87216</t>
        </is>
      </c>
      <c r="AA367" s="5" t="inlineStr">
        <is>
          <t>Direct</t>
        </is>
      </c>
      <c r="AB367" s="5" t="n">
        <v>87</v>
      </c>
      <c r="AC367" s="5" t="inlineStr">
        <is>
          <t>10.1021/acs.est.8b04252</t>
        </is>
      </c>
      <c r="AD367" s="5" t="inlineStr">
        <is>
          <t>MSETSSASALPAYARIVVDKRAPFIRAILYLILRYVIKRSMKPDADILKLRAMQLRADQKYAHPAADAVMTPVDCDGVKANWITLPGARPERVIFYLHGGAWMFNFPRTYAAMLGRWARLLNARVLMVDYRLAPEHRYPAGANDCETAYRWLLAQGIDSKQIVIGGDSAGGNLTLTTLLRLKSANQPLPACAVALSPFVDFTLSSPSMITNEKIDPMFTLEAMLGLRPHYLDPQDFLNVDASPIFGDFSGLPPIFFQSSNTEMLRDESVRAAARAHQHGVTVELELWQHLPHVFQALQKLPQADAALQSIVRFINSHTGWQA</t>
        </is>
      </c>
      <c r="AE367" s="5" t="inlineStr">
        <is>
          <t>Environmental metagenome</t>
        </is>
      </c>
      <c r="AF367" s="5" t="n"/>
      <c r="AG367" s="5" t="inlineStr">
        <is>
          <t>acc_in_maintext</t>
        </is>
      </c>
      <c r="AH367" s="5" t="inlineStr">
        <is>
          <t>ncbi</t>
        </is>
      </c>
      <c r="AI367" s="5" t="n"/>
      <c r="AJ367" s="5" t="n"/>
      <c r="AK367" s="5" t="n"/>
      <c r="AL367" s="5" t="n">
        <v>1</v>
      </c>
    </row>
    <row r="368" ht="15" customHeight="1" s="12">
      <c r="A368" s="5" t="inlineStr">
        <is>
          <t>both</t>
        </is>
      </c>
      <c r="B368" s="5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  <c r="C368" s="5" t="n">
        <v>131</v>
      </c>
      <c r="D368" s="5" t="inlineStr">
        <is>
          <t>Q4W8C9</t>
        </is>
      </c>
      <c r="E368" s="5" t="n">
        <v>33</v>
      </c>
      <c r="F368" s="5" t="inlineStr">
        <is>
          <t>Ipet</t>
        </is>
      </c>
      <c r="G368" s="5" t="inlineStr">
        <is>
          <t>Alpha/Beta Hydrolase</t>
        </is>
      </c>
      <c r="H368" s="5" t="inlineStr">
        <is>
          <t>3.40.50.1820</t>
        </is>
      </c>
      <c r="I368" s="5" t="inlineStr">
        <is>
          <t>Bacteria</t>
        </is>
      </c>
      <c r="J368" s="5" t="inlineStr">
        <is>
          <t>Cuprivadus necator ATC17699</t>
        </is>
      </c>
      <c r="K368" s="5" t="inlineStr">
        <is>
          <t>PhaY2</t>
        </is>
      </c>
      <c r="L368" s="5" t="inlineStr">
        <is>
          <t>PHA</t>
        </is>
      </c>
      <c r="M368" s="5" t="inlineStr">
        <is>
          <t>-</t>
        </is>
      </c>
      <c r="N368" s="5" t="inlineStr">
        <is>
          <t>Brigham,2012</t>
        </is>
      </c>
      <c r="O368" s="5" t="inlineStr">
        <is>
          <t>Q0KBZ6</t>
        </is>
      </c>
      <c r="P368" s="5" t="inlineStr">
        <is>
          <t>Q0KBZ6</t>
        </is>
      </c>
      <c r="Q368" s="5" t="inlineStr">
        <is>
          <t>-</t>
        </is>
      </c>
      <c r="R368" s="5" t="inlineStr">
        <is>
          <t>Q0KBZ6</t>
        </is>
      </c>
      <c r="S368" s="5" t="inlineStr">
        <is>
          <t>3-hydroxybutyrate-oligomer hydrolase</t>
        </is>
      </c>
      <c r="T368" s="5" t="inlineStr">
        <is>
          <t>Cupriavidus necator H16</t>
        </is>
      </c>
      <c r="U368" s="5">
        <f>FALSE()</f>
        <v/>
      </c>
      <c r="V368" s="5">
        <f>TRUE()</f>
        <v/>
      </c>
      <c r="W368" s="5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  <c r="X368" s="5" t="n">
        <v>1</v>
      </c>
      <c r="Y368" s="5" t="inlineStr">
        <is>
          <t>PhaY2</t>
        </is>
      </c>
      <c r="Z368" s="5" t="inlineStr">
        <is>
          <t>WP_011615004.1</t>
        </is>
      </c>
      <c r="AA368" s="5" t="inlineStr">
        <is>
          <t>Direct</t>
        </is>
      </c>
      <c r="AB368" s="5" t="n">
        <v>108</v>
      </c>
      <c r="AC368" s="5" t="inlineStr">
        <is>
          <t>10.1186/2191-0855-2-26</t>
        </is>
      </c>
      <c r="AD368" s="5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  <c r="AE368" s="5" t="inlineStr">
        <is>
          <t>Cupriavidus necator</t>
        </is>
      </c>
      <c r="AF368" s="5" t="n">
        <v>106590</v>
      </c>
      <c r="AG368" s="5" t="inlineStr">
        <is>
          <t>supp_unavailable</t>
        </is>
      </c>
      <c r="AH368" s="5" t="inlineStr">
        <is>
          <t>ncbi</t>
        </is>
      </c>
      <c r="AI368" s="5" t="n"/>
      <c r="AJ368" s="5" t="n"/>
      <c r="AK368" s="5" t="n"/>
      <c r="AL368" s="5" t="n">
        <v>1</v>
      </c>
    </row>
    <row r="369" ht="15" customHeight="1" s="12">
      <c r="A369" s="5" t="inlineStr">
        <is>
          <t>both</t>
        </is>
      </c>
      <c r="B369" s="5" t="inlineStr">
        <is>
          <t>MSDDLHYLSATEAIEHFRTRELSPVELLQAVVDRTQKFEPHINAFTEEMFDEALTGAREAESRYLGHGPDPRPLEGIPVAAKEKHAIAGKSLTEGSLAARGNIARENAPVIDRVLAAGGLIHARTTTPEFCVAAFTHSPLWGVTRNPWNLDYSPGGSSGGAGAALAAGTTTLATASDIGGSTRGPAGFTGTVGLKASYGRIPGVAPLSMDSYRGDGPMARTVDDAILLANVLIGPDPRDHSSLRPAIMLPHEYPSVEGMRIALCLRLGDFPIEPDIEANTQALAQSLVDAGAIVEEIELPWTRDSMAAAVKVHFGTIMGASVAEVARVHGDLLADYTLDNVAITSKGAAEMSFLDGLRKETQMQRELAEAMAPFDALICPTSGTIAFPAGESLLDGLTVAGQHVNTTAEALLTLPFNVANRCPVLAVPSGHAHNGVPTGVQIVGHTYDEPTVFRIGKALEKIRPWAYTDQHQPRLDVVAPASS</t>
        </is>
      </c>
      <c r="C369" s="5" t="n">
        <v>183</v>
      </c>
      <c r="D369" s="5" t="inlineStr">
        <is>
          <t>AGT90042.1</t>
        </is>
      </c>
      <c r="E369" s="5" t="n">
        <v>10</v>
      </c>
      <c r="F369" s="5" t="inlineStr">
        <is>
          <t>NylA</t>
        </is>
      </c>
      <c r="G369" s="5" t="inlineStr">
        <is>
          <t>Amidase signature</t>
        </is>
      </c>
      <c r="H369" s="5" t="inlineStr">
        <is>
          <t>3.90.1300.10</t>
        </is>
      </c>
      <c r="I369" s="5" t="inlineStr">
        <is>
          <t>Bacteria</t>
        </is>
      </c>
      <c r="J369" s="5" t="inlineStr">
        <is>
          <t>Rhodococcus erythropolis</t>
        </is>
      </c>
      <c r="K369" s="5" t="inlineStr">
        <is>
          <t>CCM2595</t>
        </is>
      </c>
      <c r="L369" s="5" t="inlineStr">
        <is>
          <t>PUR</t>
        </is>
      </c>
      <c r="M369" s="5" t="inlineStr">
        <is>
          <t>-</t>
        </is>
      </c>
      <c r="N369" s="5" t="inlineStr">
        <is>
          <t>Kang, 2021;</t>
        </is>
      </c>
      <c r="O369" s="5" t="inlineStr">
        <is>
          <t>AGT90042.1</t>
        </is>
      </c>
      <c r="P369" s="5" t="inlineStr">
        <is>
          <t>-</t>
        </is>
      </c>
      <c r="Q369" s="5" t="inlineStr">
        <is>
          <t>-</t>
        </is>
      </c>
      <c r="R369" s="5" t="inlineStr">
        <is>
          <t>-</t>
        </is>
      </c>
      <c r="S369" s="5" t="inlineStr">
        <is>
          <t>amidase</t>
        </is>
      </c>
      <c r="T369" s="5" t="inlineStr">
        <is>
          <t>Rhodococcus erythropolis CCM2595</t>
        </is>
      </c>
      <c r="U369" s="5">
        <f>FALSE()</f>
        <v/>
      </c>
      <c r="V369" s="5">
        <f>TRUE()</f>
        <v/>
      </c>
      <c r="W369" s="5" t="inlineStr">
        <is>
          <t>MSDDLHYLSATEAIEHFRTRELSPVELLQAVVDRTQKFEPHINAFTEEMFDEALTGAREAESRYLGHGPDPRPLEGIPVAAKEKHAIAGKSLTEGSLAARGNIARENAPVIDRVLAAGGLIHARTTTPEFCVAAFTHSPLWGVTRNPWNLDYSPGGSSGGAGAALAAGTTTLATASDIGGSTRGPAGFTGTVGLKASYGRIPGVAPLSMDSYRGDGPMARTVDDAILLANVLIGPDPRDHSSLRPAIMLPHEYPSVEGMRIALCLRLGDFPIEPDIEANTQALAQSLVDAGAIVEEIELPWTRDSMAAAVKVHFGTIMGASVAEVARVHGDLLADYTLDNVAITSKGAAEMSFLDGLRKETQMQRELAEAMAPFDALICPTSGTIAFPAGESLLDGLTVAGQHVNTTAEALLTLPFNVANRCPVLAVPSGHAHNGVPTGVQIVGHTYDEPTVFRIGKALEKIRPWAYTDQHQPRLDVVAPASS</t>
        </is>
      </c>
      <c r="X369" s="5" t="n">
        <v>1</v>
      </c>
      <c r="Y369" s="5" t="inlineStr">
        <is>
          <t>Amidase</t>
        </is>
      </c>
      <c r="Z369" s="5" t="inlineStr">
        <is>
          <t>AGT90042.1</t>
        </is>
      </c>
      <c r="AA369" s="5" t="inlineStr">
        <is>
          <t>Indirect</t>
        </is>
      </c>
      <c r="AB369" s="5" t="n">
        <v>159</v>
      </c>
      <c r="AC369" s="5" t="inlineStr">
        <is>
          <t>10.1016/j.jbiosc.2021.05.003</t>
        </is>
      </c>
      <c r="AD369" s="5" t="inlineStr">
        <is>
          <t>MSDDLHYLSATEAIEHFRTRELSPVELLQAVVDRTQKFEPHINAFTEEMFDEALTGAREAESRYLGHGPDPRPLEGIPVAAKEKHAIAGKSLTEGSLAARGNIARENAPVIDRVLAAGGLIHARTTTPEFCVAAFTHSPLWGVTRNPWNLDYSPGGSSGGAGAALAAGTTTLATASDIGGSTRGPAGFTGTVGLKASYGRIPGVAPLSMDSYRGDGPMARTVDDAILLANVLIGPDPRDHSSLRPAIMLPHEYPSVEGMRIALCLRLGDFPIEPDIEANTQALAQSLVDAGAIVEEIELPWTRDSMAAAVKVHFGTIMGASVAEVARVHGDLLADYTLDNVAITSKGAAEMSFLDGLRKETQMQRELAEAMAPFDALICPTSGTIAFPAGESLLDGLTVAGQHVNTTAEALLTLPFNVANRCPVLAVPSGHAHNGVPTGVQIVGHTYDEPTVFRIGKALEKIRPWAYTDQHQPRLDVVAPASS</t>
        </is>
      </c>
      <c r="AE369" s="5" t="inlineStr">
        <is>
          <t>Rhodococcus erythropolis</t>
        </is>
      </c>
      <c r="AF369" s="5" t="n">
        <v>1833</v>
      </c>
      <c r="AG369" s="5" t="inlineStr">
        <is>
          <t>acc_in_maintext</t>
        </is>
      </c>
      <c r="AH369" s="5" t="inlineStr">
        <is>
          <t>ncbi</t>
        </is>
      </c>
      <c r="AI369" s="5" t="n"/>
      <c r="AJ369" s="5" t="n"/>
      <c r="AK369" s="5" t="n"/>
      <c r="AL369" s="5" t="n">
        <v>1</v>
      </c>
    </row>
    <row r="370" ht="15" customHeight="1" s="12">
      <c r="A370" s="5" t="inlineStr">
        <is>
          <t>both</t>
        </is>
      </c>
      <c r="B370" s="5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  <c r="C370" s="5" t="n">
        <v>8</v>
      </c>
      <c r="D370" s="5" t="inlineStr">
        <is>
          <t>ADM47605.1</t>
        </is>
      </c>
      <c r="E370" s="5" t="n">
        <v>1</v>
      </c>
      <c r="F370" s="5" t="inlineStr">
        <is>
          <t>Ipet</t>
        </is>
      </c>
      <c r="G370" s="5" t="inlineStr">
        <is>
          <t>Alpha/Beta Hydrolase</t>
        </is>
      </c>
      <c r="H370" s="5" t="inlineStr">
        <is>
          <t>3.40.50.1820</t>
        </is>
      </c>
      <c r="I370" s="5" t="inlineStr">
        <is>
          <t>Bacteria</t>
        </is>
      </c>
      <c r="J370" s="5" t="inlineStr">
        <is>
          <t>Thermobifida fusca</t>
        </is>
      </c>
      <c r="K370" s="5" t="inlineStr">
        <is>
          <t>Enzyme 702</t>
        </is>
      </c>
      <c r="L370" s="5" t="inlineStr">
        <is>
          <t>PET</t>
        </is>
      </c>
      <c r="M370" s="5" t="inlineStr">
        <is>
          <t>-</t>
        </is>
      </c>
      <c r="N370" s="5" t="inlineStr">
        <is>
          <t>Erickson, 2022</t>
        </is>
      </c>
      <c r="O370" s="5" t="inlineStr">
        <is>
          <t>ADM47605.1</t>
        </is>
      </c>
      <c r="P370" s="5" t="inlineStr">
        <is>
          <t>ADM47605.1</t>
        </is>
      </c>
      <c r="Q370" s="5" t="inlineStr">
        <is>
          <t>7QJQ</t>
        </is>
      </c>
      <c r="R370" s="5" t="inlineStr">
        <is>
          <t>Q6A0I4</t>
        </is>
      </c>
      <c r="S370" s="5" t="inlineStr">
        <is>
          <t>acetylxylan esterase</t>
        </is>
      </c>
      <c r="T370" s="5" t="inlineStr">
        <is>
          <t>Thermobifida fusca</t>
        </is>
      </c>
      <c r="U370" s="5">
        <f>FALSE()</f>
        <v/>
      </c>
      <c r="V370" s="5">
        <f>TRUE()</f>
        <v/>
      </c>
      <c r="W370" s="5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  <c r="X370" s="5" t="n">
        <v>1</v>
      </c>
      <c r="Y370" s="5" t="n">
        <v>702</v>
      </c>
      <c r="Z370" s="5" t="inlineStr">
        <is>
          <t>ADM47605.1</t>
        </is>
      </c>
      <c r="AA370" s="5" t="inlineStr">
        <is>
          <t>Direct</t>
        </is>
      </c>
      <c r="AB370" s="5" t="n">
        <v>153</v>
      </c>
      <c r="AC370" s="5" t="inlineStr">
        <is>
          <t>10.1038/s41467-022-35237-x</t>
        </is>
      </c>
      <c r="AD370" s="5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  <c r="AE370" s="5" t="inlineStr">
        <is>
          <t>Thermobifida fusca</t>
        </is>
      </c>
      <c r="AF370" s="5" t="n">
        <v>2021</v>
      </c>
      <c r="AG370" s="5" t="inlineStr">
        <is>
          <t>supp_unavailable</t>
        </is>
      </c>
      <c r="AH370" s="5" t="inlineStr">
        <is>
          <t>ncbi</t>
        </is>
      </c>
      <c r="AI370" s="5" t="n"/>
      <c r="AJ370" s="5" t="n"/>
      <c r="AK370" s="5" t="n"/>
      <c r="AL370" s="5" t="n">
        <v>1</v>
      </c>
    </row>
    <row r="371" ht="15" customHeight="1" s="12">
      <c r="A371" s="5" t="inlineStr">
        <is>
          <t>both</t>
        </is>
      </c>
      <c r="B371" s="5" t="inlineStr">
        <is>
          <t>MRKLYLFLFLTLISPISISIFHAQCTGATVESLTNPGPYTVATLSEADGVRNGPKYAGSTIYYPTNATPPYASIAIVPGFTAAPSSVQEWGPFYASHGIVAIIIGTNSLYDQPEARALALLDALETIKQENGRATSPLIGKLDVTKLAVSGWSMGGGGAQRAAVLDNTISAVVALCPYLTSPQLNHTVPVLIFSGQSDPTAPPSQHANVHYNTTPGTTNKLLFEVKNGNHSVANSPTGGGGAVGKLALSWLKIYLEKNDCYCSVLATAIVNSTTVSSKISQSYQCNNALGVVDSKTRFNLYPNPTKDFVQVNVREMASYQLSSSTGQIVLKGIVTSSKNQIDLSKLPAGVYYLQINGETIKVIKKQ</t>
        </is>
      </c>
      <c r="C371" s="5" t="n">
        <v>67</v>
      </c>
      <c r="D371" s="5" t="inlineStr">
        <is>
          <t>WP_039353427.1</t>
        </is>
      </c>
      <c r="E371" s="5" t="n">
        <v>1</v>
      </c>
      <c r="F371" s="5" t="inlineStr">
        <is>
          <t>Ipet</t>
        </is>
      </c>
      <c r="G371" s="5" t="inlineStr">
        <is>
          <t>Alpha/Beta Hydrolase</t>
        </is>
      </c>
      <c r="H371" s="5" t="inlineStr">
        <is>
          <t>3.40.50.1820</t>
        </is>
      </c>
      <c r="I371" s="5" t="inlineStr">
        <is>
          <t>Bacteria</t>
        </is>
      </c>
      <c r="J371" s="5" t="inlineStr">
        <is>
          <t>Kaistella (Chryseobacterium) jeonii</t>
        </is>
      </c>
      <c r="K371" s="5" t="inlineStr">
        <is>
          <t>PET30</t>
        </is>
      </c>
      <c r="L371" s="5" t="inlineStr">
        <is>
          <t>PET</t>
        </is>
      </c>
      <c r="M371" s="5" t="inlineStr">
        <is>
          <t>EC 3.1.1.1</t>
        </is>
      </c>
      <c r="N371" s="5" t="inlineStr">
        <is>
          <t>Zhang, 2022</t>
        </is>
      </c>
      <c r="O371" s="5" t="inlineStr">
        <is>
          <t>WP_039353427</t>
        </is>
      </c>
      <c r="P371" s="5" t="inlineStr">
        <is>
          <t>WP_039353427.1</t>
        </is>
      </c>
      <c r="Q371" s="5" t="inlineStr">
        <is>
          <t>7PZJ</t>
        </is>
      </c>
      <c r="R371" s="5" t="inlineStr">
        <is>
          <t>A0A0C1F4U8</t>
        </is>
      </c>
      <c r="S371" s="5" t="inlineStr">
        <is>
          <t>type A sorting domain-containing protein</t>
        </is>
      </c>
      <c r="T371" s="5" t="inlineStr">
        <is>
          <t>Kaistella jeonii</t>
        </is>
      </c>
      <c r="U371" s="5">
        <f>FALSE()</f>
        <v/>
      </c>
      <c r="V371" s="5">
        <f>TRUE()</f>
        <v/>
      </c>
      <c r="W371" s="5" t="inlineStr">
        <is>
          <t>MRKLYLFLFLTLISPISISIFHAQCTGATVESLTNPGPYTVATLSEADGVRNGPKYAGSTIYYPTNATPPYASIAIVPGFTAAPSSVQEWGPFYASHGIVAIIIGTNSLYDQPEARALALLDALETIKQENGRATSPLIGKLDVTKLAVSGWSMGGGGAQRAAVLDNTISAVVALCPYLTSPQLNHTVPVLIFSGQSDPTAPPSQHANVHYNTTPGTTNKLLFEVKNGNHSVANSPTGGGGAVGKLALSWLKIYLEKNDCYCSVLATAIVNSTTVSSKISQSYQCNNALGVVDSKTRFNLYPNPTKDFVQVNVREMASYQLSSSTGQIVLKGIVTSSKNQIDLSKLPAGVYYLQINGETIKVIKKQ</t>
        </is>
      </c>
      <c r="X371" s="5" t="n">
        <v>1</v>
      </c>
      <c r="Y371" s="5" t="inlineStr">
        <is>
          <t>PET30</t>
        </is>
      </c>
      <c r="Z371" s="5" t="inlineStr">
        <is>
          <t>WP_039353427.1</t>
        </is>
      </c>
      <c r="AA371" s="5" t="inlineStr">
        <is>
          <t>Direct</t>
        </is>
      </c>
      <c r="AB371" s="5" t="n">
        <v>39</v>
      </c>
      <c r="AC371" s="5" t="inlineStr">
        <is>
          <t>10.3389/fmicb.2021.803896</t>
        </is>
      </c>
      <c r="AD371" s="5" t="inlineStr">
        <is>
          <t>MRKLYLFLFLTLISPISISIFHAQCTGATVESLTNPGPYTVATLSEADGVRNGPKYAGSTIYYPTNATPPYASIAIVPGFTAAPSSVQEWGPFYASHGIVAIIIGTNSLYDQPEARALALLDALETIKQENGRATSPLIGKLDVTKLAVSGWSMGGGGAQRAAVLDNTISAVVALCPYLTSPQLNHTVPVLIFSGQSDPTAPPSQHANVHYNTTPGTTNKLLFEVKNGNHSVANSPTGGGGAVGKLALSWLKIYLEKNDCYCSVLATAIVNSTTVSSKISQSYQCNNALGVVDSKTRFNLYPNPTKDFVQVNVREMASYQLSSSTGQIVLKGIVTSSKNQIDLSKLPAGVYYLQINGETIKVIKKQ</t>
        </is>
      </c>
      <c r="AE371" s="5" t="inlineStr">
        <is>
          <t>Kaistella jeonii</t>
        </is>
      </c>
      <c r="AF371" s="5" t="n">
        <v>266749</v>
      </c>
      <c r="AG371" s="5" t="inlineStr">
        <is>
          <t>supp_unavailable</t>
        </is>
      </c>
      <c r="AH371" s="5" t="inlineStr">
        <is>
          <t>ncbi</t>
        </is>
      </c>
      <c r="AI371" s="5" t="n"/>
      <c r="AJ371" s="5" t="n"/>
      <c r="AK371" s="5" t="n"/>
      <c r="AL371" s="5" t="n">
        <v>1</v>
      </c>
    </row>
    <row r="372" ht="15" customHeight="1" s="12">
      <c r="A372" s="5" t="inlineStr">
        <is>
          <t>both</t>
        </is>
      </c>
      <c r="B372" s="5" t="inlineStr">
        <is>
          <t>MDVAEYAAHDATGLAELIRDGQVSAAEVWTAAATALDAVEPELAAVAGERFDKPLDYDESGPFAGVPFALKDLIAHAGGVPSRSGSRLFGAGVAHPEDTHLVARFRRAGLAIGAITRSPEFGFNTTTEAIAYGGPSRNPWATDRSPGGSSGASAALVASGALPMAHANDGGGSIRIPAAACGAVGLKPSRGRTTPGPDLADPLLGLVIEFAVTRTVRDCARLLDAVHGAEPGDRYLLPGPVRSYAEHAAAGSRPLRIAVTTTPMDAGRAVDPECVAAVNRVAERLAELGHVVEEAAPELDVAAFDKAYLDASCSSLADDVLGASAQLAVQPSREYLEATTLACVEYGKTLSAFDIFAADRVFNQTTRAVAGFLTRYDVLLTPTTSAPPIPLGHLDADDASLSAREWYDRIFDYGSFTALFNVTGMPAISLPLAESTAGLPIGIQFAGRYGDEATLLALAGDLERAMPWADRRPAVHVGR</t>
        </is>
      </c>
      <c r="C372" s="5" t="n">
        <v>186</v>
      </c>
      <c r="D372" s="5" t="inlineStr">
        <is>
          <t>BAI44731.1</t>
        </is>
      </c>
      <c r="E372" s="5" t="n">
        <v>10</v>
      </c>
      <c r="F372" s="5" t="inlineStr">
        <is>
          <t>NylA</t>
        </is>
      </c>
      <c r="G372" s="5" t="inlineStr">
        <is>
          <t>Amidase signature</t>
        </is>
      </c>
      <c r="H372" s="5" t="inlineStr">
        <is>
          <t>3.90.1300.10</t>
        </is>
      </c>
      <c r="I372" s="5" t="inlineStr">
        <is>
          <t>Bacteria</t>
        </is>
      </c>
      <c r="J372" s="5" t="inlineStr">
        <is>
          <t>Rhodococcus sp. Oct1</t>
        </is>
      </c>
      <c r="K372" s="5" t="inlineStr">
        <is>
          <t>OoH</t>
        </is>
      </c>
      <c r="L372" s="5" t="inlineStr">
        <is>
          <t>PA</t>
        </is>
      </c>
      <c r="M372" s="5" t="inlineStr">
        <is>
          <t>-</t>
        </is>
      </c>
      <c r="N372" s="5" t="inlineStr">
        <is>
          <t>Bell, 2024; Asano, 2008</t>
        </is>
      </c>
      <c r="O372" s="5" t="inlineStr">
        <is>
          <t>BAI44731</t>
        </is>
      </c>
      <c r="P372" s="5" t="inlineStr">
        <is>
          <t>BAI44731.1</t>
        </is>
      </c>
      <c r="Q372" s="5" t="inlineStr">
        <is>
          <t>-</t>
        </is>
      </c>
      <c r="R372" s="5" t="inlineStr">
        <is>
          <t>C9K4Z3</t>
        </is>
      </c>
      <c r="S372" s="5" t="inlineStr">
        <is>
          <t>omega-octalactam hydrolase</t>
        </is>
      </c>
      <c r="T372" s="5" t="inlineStr">
        <is>
          <t>Rhodococcus sp. Oct1</t>
        </is>
      </c>
      <c r="U372" s="5">
        <f>FALSE()</f>
        <v/>
      </c>
      <c r="V372" s="5">
        <f>TRUE()</f>
        <v/>
      </c>
      <c r="W372" s="5" t="inlineStr">
        <is>
          <t>MDVAEYAAHDATGLAELIRDGQVSAAEVWTAAATALDAVEPELAAVAGERFDKPLDYDESGPFAGVPFALKDLIAHAGGVPSRSGSRLFGAGVAHPEDTHLVARFRRAGLAIGAITRSPEFGFNTTTEAIAYGGPSRNPWATDRSPGGSSGASAALVASGALPMAHANDGGGSIRIPAAACGAVGLKPSRGRTTPGPDLADPLLGLVIEFAVTRTVRDCARLLDAVHGAEPGDRYLLPGPVRSYAEHAAAGSRPLRIAVTTTPMDAGRAVDPECVAAVNRVAERLAELGHVVEEAAPELDVAAFDKAYLDASCSSLADDVLGASAQLAVQPSREYLEATTLACVEYGKTLSAFDIFAADRVFNQTTRAVAGFLTRYDVLLTPTTSAPPIPLGHLDADDASLSAREWYDRIFDYGSFTALFNVTGMPAISLPLAESTAGLPIGIQFAGRYGDEATLLALAGDLERAMPWADRRPAVHVGR</t>
        </is>
      </c>
      <c r="X372" s="5" t="n">
        <v>1</v>
      </c>
      <c r="Y372" s="5" t="inlineStr">
        <is>
          <t>OoH</t>
        </is>
      </c>
      <c r="Z372" s="5" t="inlineStr">
        <is>
          <t>BAI44731</t>
        </is>
      </c>
      <c r="AA372" s="5" t="inlineStr">
        <is>
          <t>Direct</t>
        </is>
      </c>
      <c r="AB372" s="5" t="n">
        <v>221</v>
      </c>
      <c r="AC372" s="5" t="inlineStr">
        <is>
          <t>10.1271/bbb.80210; 10.1038/s41467-024-45523-5</t>
        </is>
      </c>
      <c r="AD372" s="5" t="inlineStr">
        <is>
          <t>MDVAEYAAHDATGLAELIRDGQVSAAEVWTAAATALDAVEPELAAVAGERFDKPLDYDESGPFAGVPFALKDLIAHAGGVPSRSGSRLFGAGVAHPEDTHLVARFRRAGLAIGAITRSPEFGFNTTTEAIAYGGPSRNPWATDRSPGGSSGASAALVASGALPMAHANDGGGSIRIPAAACGAVGLKPSRGRTTPGPDLADPLLGLVIEFAVTRTVRDCARLLDAVHGAEPGDRYLLPGPVRSYAEHAAAGSRPLRIAVTTTPMDAGRAVDPECVAAVNRVAERLAELGHVVEEAAPELDVAAFDKAYLDASCSSLADDVLGASAQLAVQPSREYLEATTLACVEYGKTLSAFDIFAADRVFNQTTRAVAGFLTRYDVLLTPTTSAPPIPLGHLDADDASLSAREWYDRIFDYGSFTALFNVTGMPAISLPLAESTAGLPIGIQFAGRYGDEATLLALAGDLERAMPWADRRPAVHVGR</t>
        </is>
      </c>
      <c r="AE372" s="5" t="inlineStr">
        <is>
          <t>Rhodococcus sp. Oct1</t>
        </is>
      </c>
      <c r="AF372" s="5" t="n">
        <v>638587</v>
      </c>
      <c r="AG372" s="5" t="inlineStr">
        <is>
          <t>supp_unavailable</t>
        </is>
      </c>
      <c r="AH372" s="5" t="inlineStr">
        <is>
          <t>ncbi</t>
        </is>
      </c>
      <c r="AI372" s="5" t="n"/>
      <c r="AJ372" s="5" t="n"/>
      <c r="AK372" s="5" t="n"/>
      <c r="AL372" s="5" t="n">
        <v>1</v>
      </c>
    </row>
    <row r="373" ht="15" customHeight="1" s="12">
      <c r="A373" s="5" t="inlineStr">
        <is>
          <t>both</t>
        </is>
      </c>
      <c r="B373" s="5" t="inlineStr">
        <is>
          <t>MDVAEYAAHDATGLAELIREGQVSAAEVWTAAATALDAVEPELAAVAGERFDKPLDYDESGPFAGVPFALKDLIAHAGGVPSRSGSRLFGAGVAHPEDTHLVARFRRAGLAIGAITRSPEFGFNATTEAIAYGGPSRNPWATDRSPGGSSGASAALVASGALPMAHANDGGGSIRIPAAACGAVGLKPSRGRTTPGPDFADPLLGLGIEFAVTRTVRDCARLLDAVHGAEPGDRYLLPGPVRSYAEHAAAGSRPLRIAVTTTPMDAGRAVDPECVAAVNRVAERLAELGHVVEEAAPELDVAAFDKANLDAWCSFLADAVLGASAQLGVQPSREYLEATTLACVEYGKTLSAFDIFTADRVFNQTTRAVAGFLTRYDVLLTPTTSAPPIPLGHLDADDASLSAREWYDRIFDYGSFTALFNVTGMPAISLPLAESTAGLPIGIQFAGRYGDEATLLALAGDLERAMPWADRRPAVHVGR</t>
        </is>
      </c>
      <c r="C373" s="5" t="n">
        <v>193</v>
      </c>
      <c r="D373" s="5" t="inlineStr">
        <is>
          <t>WP_011209364.1</t>
        </is>
      </c>
      <c r="E373" s="5" t="n">
        <v>10</v>
      </c>
      <c r="F373" s="5" t="inlineStr">
        <is>
          <t>NylA</t>
        </is>
      </c>
      <c r="G373" s="5" t="inlineStr">
        <is>
          <t>Amidase signature</t>
        </is>
      </c>
      <c r="H373" s="5" t="inlineStr">
        <is>
          <t>3.90.1300.10</t>
        </is>
      </c>
      <c r="I373" s="5" t="inlineStr">
        <is>
          <t>Bacteria</t>
        </is>
      </c>
      <c r="J373" s="5" t="inlineStr">
        <is>
          <t>Nocardia farcinica IFM10512</t>
        </is>
      </c>
      <c r="K373" s="5" t="inlineStr">
        <is>
          <t>aryl acylamidase</t>
        </is>
      </c>
      <c r="L373" s="5" t="inlineStr">
        <is>
          <t>PA</t>
        </is>
      </c>
      <c r="M373" s="5" t="inlineStr">
        <is>
          <t>-</t>
        </is>
      </c>
      <c r="N373" s="5" t="inlineStr">
        <is>
          <t>Heumann, 2008; Bell, 2024</t>
        </is>
      </c>
      <c r="O373" s="5" t="inlineStr">
        <is>
          <t>WP_011209364.1</t>
        </is>
      </c>
      <c r="P373" s="5" t="inlineStr">
        <is>
          <t>WP_011209364.1</t>
        </is>
      </c>
      <c r="Q373" s="5" t="inlineStr">
        <is>
          <t>-</t>
        </is>
      </c>
      <c r="R373" s="5" t="inlineStr">
        <is>
          <t>Q5YVW2</t>
        </is>
      </c>
      <c r="S373" s="5" t="inlineStr">
        <is>
          <t>amidase</t>
        </is>
      </c>
      <c r="T373" s="5" t="inlineStr">
        <is>
          <t>Nocardia farcinica</t>
        </is>
      </c>
      <c r="U373" s="5">
        <f>FALSE()</f>
        <v/>
      </c>
      <c r="V373" s="5">
        <f>TRUE()</f>
        <v/>
      </c>
      <c r="W373" s="5" t="inlineStr">
        <is>
          <t>MDVAEYAAHDATGLAELIREGQVSAAEVWTAAATALDAVEPELAAVAGERFDKPLDYDESGPFAGVPFALKDLIAHAGGVPSRSGSRLFGAGVAHPEDTHLVARFRRAGLAIGAITRSPEFGFNATTEAIAYGGPSRNPWATDRSPGGSSGASAALVASGALPMAHANDGGGSIRIPAAACGAVGLKPSRGRTTPGPDFADPLLGLGIEFAVTRTVRDCARLLDAVHGAEPGDRYLLPGPVRSYAEHAAAGSRPLRIAVTTTPMDAGRAVDPECVAAVNRVAERLAELGHVVEEAAPELDVAAFDKANLDAWCSFLADAVLGASAQLGVQPSREYLEATTLACVEYGKTLSAFDIFTADRVFNQTTRAVAGFLTRYDVLLTPTTSAPPIPLGHLDADDASLSAREWYDRIFDYGSFTALFNVTGMPAISLPLAESTAGLPIGIQFAGRYGDEATLLALAGDLERAMPWADRRPAVHVGR</t>
        </is>
      </c>
      <c r="X373" s="5" t="n">
        <v>1</v>
      </c>
      <c r="Y373" s="5" t="inlineStr">
        <is>
          <t>Arylacylamidase</t>
        </is>
      </c>
      <c r="Z373" s="5" t="inlineStr">
        <is>
          <t>WP_011209364.1</t>
        </is>
      </c>
      <c r="AA373" s="5" t="inlineStr">
        <is>
          <t>Direct</t>
        </is>
      </c>
      <c r="AB373" s="5" t="n">
        <v>65</v>
      </c>
      <c r="AC373" s="5" t="inlineStr">
        <is>
          <t>10.1002/bit.22139; 10.1038/s41467-024-45523-5</t>
        </is>
      </c>
      <c r="AD373" s="5" t="inlineStr">
        <is>
          <t>MDVAEYAAHDATGLAELIREGQVSAAEVWTAAATALDAVEPELAAVAGERFDKPLDYDESGPFAGVPFALKDLIAHAGGVPSRSGSRLFGAGVAHPEDTHLVARFRRAGLAIGAITRSPEFGFNATTEAIAYGGPSRNPWATDRSPGGSSGASAALVASGALPMAHANDGGGSIRIPAAACGAVGLKPSRGRTTPGPDFADPLLGLGIEFAVTRTVRDCARLLDAVHGAEPGDRYLLPGPVRSYAEHAAAGSRPLRIAVTTTPMDAGRAVDPECVAAVNRVAERLAELGHVVEEAAPELDVAAFDKANLDAWCSFLADAVLGASAQLGVQPSREYLEATTLACVEYGKTLSAFDIFTADRVFNQTTRAVAGFLTRYDVLLTPTTSAPPIPLGHLDADDASLSAREWYDRIFDYGSFTALFNVTGMPAISLPLAESTAGLPIGIQFAGRYGDEATLLALAGDLERAMPWADRRPAVHVGR</t>
        </is>
      </c>
      <c r="AE373" s="5" t="inlineStr">
        <is>
          <t>Nocardia farcinica</t>
        </is>
      </c>
      <c r="AF373" s="5" t="n">
        <v>37329</v>
      </c>
      <c r="AG373" s="5" t="inlineStr">
        <is>
          <t>supp_unavailable</t>
        </is>
      </c>
      <c r="AH373" s="5" t="inlineStr">
        <is>
          <t>ncbi</t>
        </is>
      </c>
      <c r="AI373" s="5" t="n"/>
      <c r="AJ373" s="5" t="n"/>
      <c r="AK373" s="5" t="n"/>
      <c r="AL373" s="5" t="n">
        <v>1</v>
      </c>
    </row>
    <row r="374" ht="15" customHeight="1" s="12">
      <c r="A374" s="5" t="inlineStr">
        <is>
          <t>both</t>
        </is>
      </c>
      <c r="B374" s="5" t="inlineStr">
        <is>
          <t>MEKSVLIKGDNYDISGILSYKETVDKMPAVILCHGTGAQKNEVGDLFVILAEKLLQRGIASIRIDYAGCGDSKADQRELTFLGEVEDTKKAYQYICDLGCVDQKNIGILGFSQGARVVAELLKEMQEFTCVASWSGACQNGRGVFEGWFQEYYQEAEEHGYARIPMGWRDDLLLSKQWFDEIENTTPMDGLKKYTGPVLAVAGAADEIVPCSHTKEIMAEGTNEQSKMLILPGADHIFNVLSGDKTMSEHVLDVTADWFAEVMGGAKISK</t>
        </is>
      </c>
      <c r="C374" s="5" t="n">
        <v>48</v>
      </c>
      <c r="D374" s="5" t="inlineStr">
        <is>
          <t>RGD93181.1</t>
        </is>
      </c>
      <c r="E374" s="5" t="n">
        <v>1</v>
      </c>
      <c r="F374" s="5" t="inlineStr">
        <is>
          <t>Ipet</t>
        </is>
      </c>
      <c r="G374" s="5" t="inlineStr">
        <is>
          <t>Alpha/Beta Hydrolase</t>
        </is>
      </c>
      <c r="H374" s="5" t="inlineStr">
        <is>
          <t>3.40.50.1820</t>
        </is>
      </c>
      <c r="I374" s="5" t="inlineStr">
        <is>
          <t>Bacteria</t>
        </is>
      </c>
      <c r="J374" s="5" t="inlineStr">
        <is>
          <t>Clostridiales bacterium AM23-16LB</t>
        </is>
      </c>
      <c r="K374" s="5" t="inlineStr">
        <is>
          <t>HG-3</t>
        </is>
      </c>
      <c r="L374" s="5" t="inlineStr">
        <is>
          <t>PET</t>
        </is>
      </c>
      <c r="M374" s="5" t="inlineStr">
        <is>
          <t>-</t>
        </is>
      </c>
      <c r="N374" s="5" t="inlineStr">
        <is>
          <t>Zhou, 2024</t>
        </is>
      </c>
      <c r="O374" s="5" t="inlineStr">
        <is>
          <t>RGD93181</t>
        </is>
      </c>
      <c r="P374" s="5" t="inlineStr">
        <is>
          <t>RGD93181</t>
        </is>
      </c>
      <c r="Q374" s="5" t="inlineStr">
        <is>
          <t>-</t>
        </is>
      </c>
      <c r="R374" s="5" t="inlineStr">
        <is>
          <t>-</t>
        </is>
      </c>
      <c r="S374" s="5" t="inlineStr">
        <is>
          <t>alpha/beta fold hydrolase</t>
        </is>
      </c>
      <c r="T374" s="5" t="inlineStr">
        <is>
          <t>Clostridiales bacterium AM23-16LB</t>
        </is>
      </c>
      <c r="U374" s="5">
        <f>FALSE()</f>
        <v/>
      </c>
      <c r="V374" s="5">
        <f>TRUE()</f>
        <v/>
      </c>
      <c r="W374" s="5" t="inlineStr">
        <is>
          <t>MEKSVLIKGDNYDISGILSYKETVDKMPAVILCHGTGAQKNEVGDLFVILAEKLLQRGIASIRIDYAGCGDSKADQRELTFLGEVEDTKKAYQYICDLGCVDQKNIGILGFSQGARVVAELLKEMQEFTCVASWSGACQNGRGVFEGWFQEYYQEAEEHGYARIPMGWRDDLLLSKQWFDEIENTTPMDGLKKYTGPVLAVAGAADEIVPCSHTKEIMAEGTNEQSKMLILPGADHIFNVLSGDKTMSEHVLDVTADWFAEVMGGAKISK</t>
        </is>
      </c>
      <c r="X374" s="5" t="n">
        <v>1</v>
      </c>
      <c r="Y374" s="5" t="inlineStr">
        <is>
          <t>HG-3</t>
        </is>
      </c>
      <c r="Z374" s="5" t="inlineStr">
        <is>
          <t>RGD93181.1</t>
        </is>
      </c>
      <c r="AA374" s="5" t="inlineStr">
        <is>
          <t>Direct</t>
        </is>
      </c>
      <c r="AB374" s="5" t="n">
        <v>224</v>
      </c>
      <c r="AC374" s="5" t="inlineStr">
        <is>
          <t>10.3390/microorganisms12010138</t>
        </is>
      </c>
      <c r="AD374" s="5" t="inlineStr">
        <is>
          <t>MEKSVLIKGDNYDISGILSYKETVDKMPAVILCHGTGAQKNEVGDLFVILAEKLLQRGIASIRIDYAGCGDSKADQRELTFLGEVEDTKKAYQYICDLGCVDQKNIGILGFSQGARVVAELLKEMQEFTCVASWSGACQNGRGVFEGWFQEYYQEAEEHGYARIPMGWRDDLLLSKQWFDEIENTTPMDGLKKYTGPVLAVAGAADEIVPCSHTKEIMAEGTNEQSKMLILPGADHIFNVLSGDKTMSEHVLDVTADWFAEVMGGAKISK</t>
        </is>
      </c>
      <c r="AE374" s="5" t="inlineStr">
        <is>
          <t>Clostridiales bacterium AM23-16LB</t>
        </is>
      </c>
      <c r="AF374" s="5" t="n">
        <v>2306574</v>
      </c>
      <c r="AG374" s="5" t="inlineStr">
        <is>
          <t>supp_unavailable</t>
        </is>
      </c>
      <c r="AH374" s="5" t="inlineStr">
        <is>
          <t>ncbi</t>
        </is>
      </c>
      <c r="AI374" s="5" t="n"/>
      <c r="AJ374" s="5" t="n"/>
      <c r="AK374" s="5" t="n"/>
      <c r="AL374" s="5" t="n">
        <v>1</v>
      </c>
    </row>
    <row r="375" ht="15" customHeight="1" s="12">
      <c r="A375" s="5" t="inlineStr">
        <is>
          <t>both</t>
        </is>
      </c>
      <c r="B375" s="5" t="inlineStr">
        <is>
          <t>MELKRSTGSLTRLLVASAAVFGLLAGNATLAQAAEPADVHGPDPTEESITAPRGPFEVDEESVSRLSVSGFGGGTIYYPTDTTDGLFSAVSISPGFTGTQETMAWYGPRLASQGFVVFTIDTITTTDQPDSRARQLQASLDYLVNDSDVKDIIDPARLGVMGHSMGGGGSLKAALDNPALKAAIPLTPWHTTKDFSGVQTPTLIIGAQNDTVAPVSQHAKPFYESLPDDPGKAYLELAGASHLAPNTDNTTIAKFSIAWLKRFLDDDTRYDQFLCPPPENDDSISDYQSTCPY</t>
        </is>
      </c>
      <c r="C375" s="5" t="n">
        <v>78</v>
      </c>
      <c r="D375" s="5" t="inlineStr">
        <is>
          <t>WP_093412886.1</t>
        </is>
      </c>
      <c r="E375" s="5" t="n">
        <v>1</v>
      </c>
      <c r="F375" s="5" t="inlineStr">
        <is>
          <t>Ipet</t>
        </is>
      </c>
      <c r="G375" s="5" t="inlineStr">
        <is>
          <t>Alpha/Beta Hydrolase</t>
        </is>
      </c>
      <c r="H375" s="5" t="inlineStr">
        <is>
          <t>3.40.50.1820</t>
        </is>
      </c>
      <c r="I375" s="5" t="inlineStr">
        <is>
          <t>Bacteria</t>
        </is>
      </c>
      <c r="J375" s="5" t="inlineStr">
        <is>
          <t>Saccharopolyspora flava</t>
        </is>
      </c>
      <c r="K375" s="5" t="inlineStr">
        <is>
          <t>Enzyme 611</t>
        </is>
      </c>
      <c r="L375" s="5" t="inlineStr">
        <is>
          <t>PET</t>
        </is>
      </c>
      <c r="M375" s="5" t="inlineStr">
        <is>
          <t>-</t>
        </is>
      </c>
      <c r="N375" s="5" t="inlineStr">
        <is>
          <t>Erickson, 2022</t>
        </is>
      </c>
      <c r="O375" s="5" t="inlineStr">
        <is>
          <t>WP_093412886.1</t>
        </is>
      </c>
      <c r="P375" s="5" t="inlineStr">
        <is>
          <t>WP_093412886.1</t>
        </is>
      </c>
      <c r="Q375" s="5" t="inlineStr">
        <is>
          <t>7QJP</t>
        </is>
      </c>
      <c r="R375" s="5" t="inlineStr">
        <is>
          <t>-</t>
        </is>
      </c>
      <c r="S375" s="5" t="inlineStr">
        <is>
          <t>dienelactone hydrolase family protein</t>
        </is>
      </c>
      <c r="T375" s="5" t="inlineStr">
        <is>
          <t>Saccharopolyspora flava</t>
        </is>
      </c>
      <c r="U375" s="5">
        <f>FALSE()</f>
        <v/>
      </c>
      <c r="V375" s="5">
        <f>TRUE()</f>
        <v/>
      </c>
      <c r="W375" s="5" t="inlineStr">
        <is>
          <t>MELKRSTGSLTRLLVASAAVFGLLAGNATLAQAAEPADVHGPDPTEESITAPRGPFEVDEESVSRLSVSGFGGGTIYYPTDTTDGLFSAVSISPGFTGTQETMAWYGPRLASQGFVVFTIDTITTTDQPDSRARQLQASLDYLVNDSDVKDIIDPARLGVMGHSMGGGGSLKAALDNPALKAAIPLTPWHTTKDFSGVQTPTLIIGAQNDTVAPVSQHAKPFYESLPDDPGKAYLELAGASHLAPNTDNTTIAKFSIAWLKRFLDDDTRYDQFLCPPPENDDSISDYQSTCPY</t>
        </is>
      </c>
      <c r="X375" s="5" t="n">
        <v>1</v>
      </c>
      <c r="Y375" s="5" t="n">
        <v>611</v>
      </c>
      <c r="Z375" s="5" t="inlineStr">
        <is>
          <t>WP_093412886.1</t>
        </is>
      </c>
      <c r="AA375" s="5" t="inlineStr">
        <is>
          <t>Direct</t>
        </is>
      </c>
      <c r="AB375" s="5" t="n">
        <v>151</v>
      </c>
      <c r="AC375" s="5" t="inlineStr">
        <is>
          <t>10.1038/s41467-022-35237-x</t>
        </is>
      </c>
      <c r="AD375" s="5" t="inlineStr">
        <is>
          <t>MELKRSTGSLTRLLVASAAVFGLLAGNATLAQAAEPADVHGPDPTEESITAPRGPFEVDEESVSRLSVSGFGGGTIYYPTDTTDGLFSAVSISPGFTGTQETMAWYGPRLASQGFVVFTIDTITTTDQPDSRARQLQASLDYLVNDSDVKDIIDPARLGVMGHSMGGGGSLKAALDNPALKAAIPLTPWHTTKDFSGVQTPTLIIGAQNDTVAPVSQHAKPFYESLPDDPGKAYLELAGASHLAPNTDNTTIAKFSIAWLKRFLDDDTRYDQFLCPPPENDDSISDYQSTCPY</t>
        </is>
      </c>
      <c r="AE375" s="5" t="inlineStr">
        <is>
          <t>Saccharopolyspora flava</t>
        </is>
      </c>
      <c r="AF375" s="5" t="n">
        <v>95161</v>
      </c>
      <c r="AG375" s="5" t="inlineStr">
        <is>
          <t>supp_unavailable</t>
        </is>
      </c>
      <c r="AH375" s="5" t="inlineStr">
        <is>
          <t>ncbi</t>
        </is>
      </c>
      <c r="AI375" s="5" t="n"/>
      <c r="AJ375" s="5" t="n"/>
      <c r="AK375" s="5" t="n"/>
      <c r="AL375" s="5" t="n">
        <v>1</v>
      </c>
    </row>
    <row r="376" ht="15" customHeight="1" s="12">
      <c r="A376" s="5" t="inlineStr">
        <is>
          <t>both</t>
        </is>
      </c>
      <c r="B376" s="5" t="inlineStr">
        <is>
          <t>MELNSMQFLLGLIGLLLLIVTSLRRWLLRRESPQKQAVDFHGELYQVGSAVIARSRADAPAGSVIVMHGFVENFLYFTEHYADPDIQLIMLTSADYHLPVNQPRFTKADWIKIPGQRPGTIAYDAAVLNQALEHLATGTQIRVHGHSRGGAVTLEAARQRPDLFARVEVILEAPVLPQGKPYKAVSPLARWFAPFYLFAWQQQPISPANAKVFGPLDNPRKRELIMALPFNPRYGRTFVNNIKDLADWMDSTGTDIYQHVKFGAILVPSHDLILNASAMLQSAQQAESLQIIEVEGCSHLITADRPDSIPPLPG</t>
        </is>
      </c>
      <c r="C376" s="5" t="n">
        <v>17</v>
      </c>
      <c r="D376" s="5" t="inlineStr">
        <is>
          <t>AGT96415.1</t>
        </is>
      </c>
      <c r="E376" s="5" t="n">
        <v>1</v>
      </c>
      <c r="F376" s="5" t="inlineStr">
        <is>
          <t>Ipet</t>
        </is>
      </c>
      <c r="G376" s="5" t="inlineStr">
        <is>
          <t>Alpha/Beta Hydrolase</t>
        </is>
      </c>
      <c r="H376" s="5" t="inlineStr">
        <is>
          <t>3.40.50.1820</t>
        </is>
      </c>
      <c r="I376" s="5" t="inlineStr">
        <is>
          <t>Metagenome</t>
        </is>
      </c>
      <c r="J376" s="5" t="inlineStr">
        <is>
          <t>Marine metagenome</t>
        </is>
      </c>
      <c r="K376" s="5" t="inlineStr">
        <is>
          <t>MGS0109 (KC986401)</t>
        </is>
      </c>
      <c r="L376" s="5" t="inlineStr">
        <is>
          <t>PLA</t>
        </is>
      </c>
      <c r="M376" s="5" t="inlineStr">
        <is>
          <t>EC 3.1.1.1</t>
        </is>
      </c>
      <c r="N376" s="5" t="inlineStr">
        <is>
          <t>Tchigvintsev, 2015</t>
        </is>
      </c>
      <c r="O376" s="5" t="inlineStr">
        <is>
          <t>AGT96415</t>
        </is>
      </c>
      <c r="P376" s="5" t="inlineStr">
        <is>
          <t>AGT96415.1</t>
        </is>
      </c>
      <c r="Q376" s="5" t="inlineStr">
        <is>
          <t>-</t>
        </is>
      </c>
      <c r="R376" s="5" t="inlineStr">
        <is>
          <t>T1W006</t>
        </is>
      </c>
      <c r="S376" s="5" t="inlineStr">
        <is>
          <t>esterase</t>
        </is>
      </c>
      <c r="T376" s="5" t="inlineStr">
        <is>
          <t>uncultured bacterium</t>
        </is>
      </c>
      <c r="U376" s="5">
        <f>FALSE()</f>
        <v/>
      </c>
      <c r="V376" s="5">
        <f>TRUE()</f>
        <v/>
      </c>
      <c r="W376" s="5" t="inlineStr">
        <is>
          <t>MELNSMQFLLGLIGLLLLIVTSLRRWLLRRESPQKQAVDFHGELYQVGSAVIARSRADAPAGSVIVMHGFVENFLYFTEHYADPDIQLIMLTSADYHLPVNQPRFTKADWIKIPGQRPGTIAYDAAVLNQALEHLATGTQIRVHGHSRGGAVTLEAARQRPDLFARVEVILEAPVLPQGKPYKAVSPLARWFAPFYLFAWQQQPISPANAKVFGPLDNPRKRELIMALPFNPRYGRTFVNNIKDLADWMDSTGTDIYQHVKFGAILVPSHDLILNASAMLQSAQQAESLQIIEVEGCSHLITADRPDSIPPLPG</t>
        </is>
      </c>
      <c r="X376" s="5" t="n">
        <v>1</v>
      </c>
      <c r="Y376" s="5" t="inlineStr">
        <is>
          <t>MGS0109</t>
        </is>
      </c>
      <c r="Z376" s="5" t="inlineStr">
        <is>
          <t>AGT96415.1</t>
        </is>
      </c>
      <c r="AA376" s="5" t="inlineStr">
        <is>
          <t>Direct</t>
        </is>
      </c>
      <c r="AB376" s="5" t="n">
        <v>82</v>
      </c>
      <c r="AC376" s="5" t="inlineStr">
        <is>
          <t>10.1007/s00253-014-6038-3</t>
        </is>
      </c>
      <c r="AD376" s="5" t="inlineStr">
        <is>
          <t>MELNSMQFLLGLIGLLLLIVTSLRRWLLRRESPQKQAVDFHGELYQVGSAVIARSRADAPAGSVIVMHGFVENFLYFTEHYADPDIQLIMLTSADYHLPVNQPRFTKADWIKIPGQRPGTIAYDAAVLNQALEHLATGTQIRVHGHSRGGAVTLEAARQRPDLFARVEVILEAPVLPQGKPYKAVSPLARWFAPFYLFAWQQQPISPANAKVFGPLDNPRKRELIMALPFNPRYGRTFVNNIKDLADWMDSTGTDIYQHVKFGAILVPSHDLILNASAMLQSAQQAESLQIIEVEGCSHLITADRPDSIPPLPG</t>
        </is>
      </c>
      <c r="AE376" s="5" t="inlineStr">
        <is>
          <t>Marine metagenome</t>
        </is>
      </c>
      <c r="AF376" s="5" t="n"/>
      <c r="AG376" s="5" t="inlineStr">
        <is>
          <t>supp_unavailable</t>
        </is>
      </c>
      <c r="AH376" s="5" t="inlineStr">
        <is>
          <t>ncbi</t>
        </is>
      </c>
      <c r="AI376" s="5" t="n"/>
      <c r="AJ376" s="5" t="n"/>
      <c r="AK376" s="5" t="n"/>
      <c r="AL376" s="5" t="n">
        <v>1</v>
      </c>
    </row>
    <row r="377" ht="15" customHeight="1" s="12">
      <c r="A377" s="5" t="inlineStr">
        <is>
          <t>both</t>
        </is>
      </c>
      <c r="B377" s="5" t="inlineStr">
        <is>
          <t>MENLSRRRALTLGVALGLAGAAAPVPAWASAGSAAGTAGAGKLAGAGAAAGPGPEWIWDDAADPLMVRMIEGGHVPAINRAWEGWVNNDDPIPGGLPSDFAAYLAQVNRLPSWADQAKLERAADFNRRRDTYLFMLYGLGSGIMSTVIPREAKSVYWSAGGADMQDRAAKTFTFGYDLSELGAFKPTGQFVVTANKTRVVHAAVRHLLPQSPHWKAVADESIPISAADILVTFHSLGTYVHQKLLEWKIPYPAADQEAFLHMWQVAVHLLGVPYEHIPKTWAEAVAQSQRVLTPILTPSTEGIELAEDLLGLTAQIDLGVTRGFLNEFVRYVLSDQVGDWLGLRRDYAAAALVRTAWPAFILFREGLSPVMPGTFYMFDQFIRALAMLFLNKGESGKTTPITIPTGNRAG</t>
        </is>
      </c>
      <c r="C377" s="5" t="n">
        <v>209</v>
      </c>
      <c r="D377" s="5" t="inlineStr">
        <is>
          <t>QZD35498.1</t>
        </is>
      </c>
      <c r="E377" s="5" t="n">
        <v>16</v>
      </c>
      <c r="F377" s="5" t="inlineStr">
        <is>
          <t>Lcp</t>
        </is>
      </c>
      <c r="G377" s="5" t="inlineStr">
        <is>
          <t>oxygenase-like</t>
        </is>
      </c>
      <c r="H377" s="5" t="n"/>
      <c r="I377" s="5" t="inlineStr">
        <is>
          <t>Bacteria</t>
        </is>
      </c>
      <c r="J377" s="5" t="inlineStr">
        <is>
          <t>Streptomyces sp. AC04842</t>
        </is>
      </c>
      <c r="K377" s="5" t="inlineStr">
        <is>
          <t>Lcp1</t>
        </is>
      </c>
      <c r="L377" s="5" t="inlineStr">
        <is>
          <t>NR</t>
        </is>
      </c>
      <c r="M377" s="5" t="inlineStr">
        <is>
          <t>-</t>
        </is>
      </c>
      <c r="N377" s="5" t="inlineStr">
        <is>
          <t>Basik, 2022</t>
        </is>
      </c>
      <c r="O377" s="5" t="inlineStr">
        <is>
          <t>MT664881</t>
        </is>
      </c>
      <c r="P377" s="5" t="inlineStr">
        <is>
          <t xml:space="preserve">QZD35498.1 </t>
        </is>
      </c>
      <c r="Q377" s="5" t="inlineStr">
        <is>
          <t>-</t>
        </is>
      </c>
      <c r="R377" s="5" t="inlineStr">
        <is>
          <t>A0A975YYT9</t>
        </is>
      </c>
      <c r="S377" s="5" t="inlineStr">
        <is>
          <t>latex clearing protein</t>
        </is>
      </c>
      <c r="T377" s="5" t="inlineStr">
        <is>
          <t>Streptomyces sp. AC04842</t>
        </is>
      </c>
      <c r="U377" s="5">
        <f>FALSE()</f>
        <v/>
      </c>
      <c r="V377" s="5">
        <f>TRUE()</f>
        <v/>
      </c>
      <c r="W377" s="5" t="inlineStr">
        <is>
          <t>MENLSRRRALTLGVALGLAGAAAPVPAWASAGSAAGTAGAGKLAGAGAAAGPGPEWIWDDAADPLMVRMIEGGHVPAINRAWEGWVNNDDPIPGGLPSDFAAYLAQVNRLPSWADQAKLERAADFNRRRDTYLFMLYGLGSGIMSTVIPREAKSVYWSAGGADMQDRAAKTFTFGYDLSELGAFKPTGQFVVTANKTRVVHAAVRHLLPQSPHWKAVADESIPISAADILVTFHSLGTYVHQKLLEWKIPYPAADQEAFLHMWQVAVHLLGVPYEHIPKTWAEAVAQSQRVLTPILTPSTEGIELAEDLLGLTAQIDLGVTRGFLNEFVRYVLSDQVGDWLGLRRDYAAAALVRTAWPAFILFREGLSPVMPGTFYMFDQFIRALAMLFLNKGESGKTTPITIPTGNRAG</t>
        </is>
      </c>
      <c r="X377" s="5" t="n">
        <v>1</v>
      </c>
      <c r="Y377" s="5" t="inlineStr">
        <is>
          <t>Lcp1</t>
        </is>
      </c>
      <c r="Z377" s="5" t="inlineStr">
        <is>
          <t>WP_189902969.1</t>
        </is>
      </c>
      <c r="AA377" s="5" t="inlineStr">
        <is>
          <t>Indirect</t>
        </is>
      </c>
      <c r="AB377" s="5" t="n">
        <v>127</v>
      </c>
      <c r="AC377" s="5" t="inlineStr">
        <is>
          <t>10.3389/fmicb.2022.854427</t>
        </is>
      </c>
      <c r="AD377" s="5" t="inlineStr">
        <is>
          <t>MENLSRRRALTLGVALGLAGAAAPVPAWASAGSAAGTAGAGKLAGAGAAAGPGPEWIWDDAADPLMVRMIEGGHVPAINRAWEGWVNNDDPIPGGLPSDFAAYLAQVNRLPSWADQAKLERAADFNRRRDTYLFMLYGLGSGIMSTVIPREAKSVYWSAGGADMQDRAAKTFTFGYDLSELGAFKPTGQFVVTANKTRVVHAAVRHLLPQSPHWKAVADESIPISAADILVTFHSLGTYVHQKLLEWKIPYPAADQEAFLHMWQVAVHLLGVPYEHIPKTWAEAVAQSQRVLTPILTPSTEGIELAEDLLGLTAQIDLGVTRGFLNEFVRYVLSDQVGDWLGLRRDYAAAALVRTAWPAFILFREGLSPVMPGTFYMFDQFIRALAMLFLNKGESGKTTPITIPTGNRAG</t>
        </is>
      </c>
      <c r="AE377" s="5" t="inlineStr">
        <is>
          <t>Streptomyces sp. AC04842</t>
        </is>
      </c>
      <c r="AF377" s="5" t="n">
        <v>2775327</v>
      </c>
      <c r="AG377" s="5" t="inlineStr">
        <is>
          <t>supp_unavailable</t>
        </is>
      </c>
      <c r="AH377" s="5" t="inlineStr">
        <is>
          <t>ncbi</t>
        </is>
      </c>
      <c r="AI377" s="5" t="n"/>
      <c r="AJ377" s="5" t="n"/>
      <c r="AK377" s="5" t="n"/>
      <c r="AL377" s="5" t="n">
        <v>1</v>
      </c>
    </row>
    <row r="378" ht="15" customHeight="1" s="12">
      <c r="A378" s="5" t="inlineStr">
        <is>
          <t>both</t>
        </is>
      </c>
      <c r="B378" s="5" t="inlineStr">
        <is>
          <t>MENPYERGPDPTESSIEAVRGPFAVAQTTVSRLQADGFGGGTIYYPTDTSQGTFGAVAISPGFTAGQESIAWLGPRIASQGFVVITIDTITRLDQPDSRGRQLQAALDHLRTNSVVRNRIDPNRMAVMGHSMGGGGALSAAANNTSLEAAIPLQGWHTRKNWSSVRTPTLVVGAQLDTIAPVSSHSEAFYNSLPSDLDKAYMELRGASHFVSNTPDTTTAKYSIAWLKRFVDNDLRYEQFLCPAPDDFAISEYRATCPF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  <c r="C378" s="5" t="n">
        <v>54</v>
      </c>
      <c r="D378" s="5" t="inlineStr">
        <is>
          <t>SAY37583.1</t>
        </is>
      </c>
      <c r="E378" s="5" t="n">
        <v>1</v>
      </c>
      <c r="F378" s="5" t="inlineStr">
        <is>
          <t>Ipet</t>
        </is>
      </c>
      <c r="G378" s="5" t="inlineStr">
        <is>
          <t>Alpha/Beta Hydrolase</t>
        </is>
      </c>
      <c r="H378" s="5" t="inlineStr">
        <is>
          <t>3.40.50.1820</t>
        </is>
      </c>
      <c r="I378" s="5" t="inlineStr">
        <is>
          <t>Bacteria</t>
        </is>
      </c>
      <c r="J378" s="5" t="inlineStr">
        <is>
          <t>Compost metagenome</t>
        </is>
      </c>
      <c r="K378" s="5" t="inlineStr">
        <is>
          <t>PHL-31</t>
        </is>
      </c>
      <c r="L378" s="5" t="inlineStr">
        <is>
          <t>PET</t>
        </is>
      </c>
      <c r="M378" s="5" t="inlineStr">
        <is>
          <t>-</t>
        </is>
      </c>
      <c r="N378" s="5" t="inlineStr">
        <is>
          <t>Sonnendecker, 2022</t>
        </is>
      </c>
      <c r="O378" s="5" t="inlineStr">
        <is>
          <t>SAY37583.1</t>
        </is>
      </c>
      <c r="P378" s="5" t="inlineStr">
        <is>
          <t>SAY37583.1</t>
        </is>
      </c>
      <c r="Q378" s="5" t="inlineStr">
        <is>
          <t>-</t>
        </is>
      </c>
      <c r="R378" s="5" t="inlineStr">
        <is>
          <t>-</t>
        </is>
      </c>
      <c r="S378" s="5" t="inlineStr">
        <is>
          <t>Hydrolase 3</t>
        </is>
      </c>
      <c r="T378" s="5" t="inlineStr">
        <is>
          <t>compost metagenome</t>
        </is>
      </c>
      <c r="U378" s="5">
        <f>TRUE()</f>
        <v/>
      </c>
      <c r="V378" s="5">
        <f>TRUE()</f>
        <v/>
      </c>
      <c r="W378" s="5" t="inlineStr">
        <is>
          <t>MENPYERGPDPTESSIEAVRGPFAVAQTTVSRLQADGFGGGTIYYPTDTSQGTFGAVAISPGFTAGQESIAWLGPRIASQGFVVITIDTITRLDQPDSRGRQLQAALDHLRTNSVVRNRIDPNRMAVMGHSMGGGGALSAAANNTSLEAAIPLQGWHTRKNWSSVRTPTLVVGAQLDTIAPVSSHSEAFYNSLPSDLDKAYMELRGASHFVSNTPDTTTAKYSIAWLKRFVDNDLRYEQFLCPAPDDFAISEYRATCPF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  <c r="X378" s="5" t="n">
        <v>1</v>
      </c>
      <c r="Y378" s="5" t="inlineStr">
        <is>
          <t>PHL-3</t>
        </is>
      </c>
      <c r="Z378" s="5" t="inlineStr">
        <is>
          <t>SAY37583.1</t>
        </is>
      </c>
      <c r="AA378" s="5" t="inlineStr">
        <is>
          <t>Direct</t>
        </is>
      </c>
      <c r="AB378" s="5" t="n">
        <v>173</v>
      </c>
      <c r="AC378" s="5" t="inlineStr">
        <is>
          <t>10.1002/cssc.202101062</t>
        </is>
      </c>
      <c r="AD378" s="5" t="inlineStr">
        <is>
          <t>MENPYERGPDPTESSIEAVRGPFAVAQTTVSRLQADGFGGGTIYYPTDTSQGTFGAVAISPGFTAGQESIAWLGPRIASQGFVVITIDTITRLDQPDSRGRQLQAALDHLRTNSVVRNRIDPNRMAVMGHSMGGGGALSAAANNTSLEAAIPLQGWHTRKNWSSVRTPTLVVGAQLDTIAPVSSHSEAFYNSLPSDLDKAYMELRGASHFVSNTPDTTTAKYSIAWLKRFVDNDLRYEQFLCPAPDDFAISEYRATCPF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  <c r="AE378" s="5" t="inlineStr">
        <is>
          <t>Compost metagenome</t>
        </is>
      </c>
      <c r="AF378" s="5" t="n"/>
      <c r="AG378" s="5" t="inlineStr">
        <is>
          <t>supp_unavailable</t>
        </is>
      </c>
      <c r="AH378" s="5" t="inlineStr">
        <is>
          <t>ncbi</t>
        </is>
      </c>
      <c r="AI378" s="5" t="n"/>
      <c r="AJ378" s="5" t="n"/>
      <c r="AK378" s="5" t="n"/>
      <c r="AL378" s="5" t="n">
        <v>1</v>
      </c>
    </row>
    <row r="379" ht="15" customHeight="1" s="12">
      <c r="A379" s="5" t="inlineStr">
        <is>
          <t>both</t>
        </is>
      </c>
      <c r="B379" s="5" t="inlineStr">
        <is>
          <t>MENPYERGPDPTTQSVEAARGPYAVSQITVGGQFGSYSGGTIYYPTSTADGKFGAVAIAPGFLSFQSSVAWLGPRIASQGFVVMTIDTGTIFDQPAQRGDQLLDALDFLTQRSSVKDRIDPNRLAVAGWSWGGGGSLEAAADRPSLKAAIPMAGWNLNTNWSRLTTPVLVVGVQNDLIAPVAMHSEPFYNSIRSEKAYLELAGGSHFTVTSANTPQAKLMISWLKRFVDNDTRYEQFICPGPSRGFSVSEYRSTCPY</t>
        </is>
      </c>
      <c r="C379" s="5" t="n">
        <v>55</v>
      </c>
      <c r="D379" s="5" t="inlineStr">
        <is>
          <t>SAY37584.1</t>
        </is>
      </c>
      <c r="E379" s="5" t="n">
        <v>1</v>
      </c>
      <c r="F379" s="5" t="inlineStr">
        <is>
          <t>Ipet</t>
        </is>
      </c>
      <c r="G379" s="5" t="inlineStr">
        <is>
          <t>Alpha/Beta Hydrolase</t>
        </is>
      </c>
      <c r="H379" s="5" t="inlineStr">
        <is>
          <t>3.40.50.1820</t>
        </is>
      </c>
      <c r="I379" s="5" t="inlineStr">
        <is>
          <t>Metagenome</t>
        </is>
      </c>
      <c r="J379" s="5" t="inlineStr">
        <is>
          <t>Compost metagenome</t>
        </is>
      </c>
      <c r="K379" s="5" t="inlineStr">
        <is>
          <t>PHL-41</t>
        </is>
      </c>
      <c r="L379" s="5" t="inlineStr">
        <is>
          <t>PET</t>
        </is>
      </c>
      <c r="M379" s="5" t="inlineStr">
        <is>
          <t>-</t>
        </is>
      </c>
      <c r="N379" s="5" t="inlineStr">
        <is>
          <t>Sonnendecker, 2022</t>
        </is>
      </c>
      <c r="O379" s="5" t="inlineStr">
        <is>
          <t>SAY37584.1</t>
        </is>
      </c>
      <c r="P379" s="5" t="inlineStr">
        <is>
          <t>SAY37584.1</t>
        </is>
      </c>
      <c r="Q379" s="5" t="inlineStr">
        <is>
          <t>-</t>
        </is>
      </c>
      <c r="R379" s="5" t="inlineStr">
        <is>
          <t>-</t>
        </is>
      </c>
      <c r="S379" s="5" t="inlineStr">
        <is>
          <t>Hydrolase 4</t>
        </is>
      </c>
      <c r="T379" s="5" t="inlineStr">
        <is>
          <t>compost metagenome</t>
        </is>
      </c>
      <c r="U379" s="5">
        <f>FALSE()</f>
        <v/>
      </c>
      <c r="V379" s="5">
        <f>TRUE()</f>
        <v/>
      </c>
      <c r="W379" s="5" t="inlineStr">
        <is>
          <t>MENPYERGPDPTTQSVEAARGPYAVSQITVGGQFGSYSGGTIYYPTSTADGKFGAVAIAPGFLSFQSSVAWLGPRIASQGFVVMTIDTGTIFDQPAQRGDQLLDALDFLTQRSSVKDRIDPNRLAVAGWSWGGGGSLEAAADRPSLKAAIPMAGWNLNTNWSRLTTPVLVVGVQNDLIAPVAMHSEPFYNSIRSEKAYLELAGGSHFTVTSANTPQAKLMISWLKRFVDNDTRYEQFICPGPSRGFSVSEYRSTCPY</t>
        </is>
      </c>
      <c r="X379" s="5" t="n">
        <v>1</v>
      </c>
      <c r="Y379" s="5" t="inlineStr">
        <is>
          <t>PHL-4</t>
        </is>
      </c>
      <c r="Z379" s="5" t="inlineStr">
        <is>
          <t>SAY37584.1</t>
        </is>
      </c>
      <c r="AA379" s="5" t="inlineStr">
        <is>
          <t>Direct</t>
        </is>
      </c>
      <c r="AB379" s="5" t="n">
        <v>174</v>
      </c>
      <c r="AC379" s="5" t="inlineStr">
        <is>
          <t>10.1002/cssc.202101062</t>
        </is>
      </c>
      <c r="AD379" s="5" t="inlineStr">
        <is>
          <t>MENPYERGPDPTTQSVEAARGPYAVSQITVGGQFGSYSGGTIYYPTSTADGKFGAVAIAPGFLSFQSSVAWLGPRIASQGFVVMTIDTGTIFDQPAQRGDQLLDALDFLTQRSSVKDRIDPNRLAVAGWSWGGGGSLEAAADRPSLKAAIPMAGWNLNTNWSRLTTPVLVVGVQNDLIAPVAMHSEPFYNSIRSEKAYLELAGGSHFTVTSANTPQAKLMISWLKRFVDNDTRYEQFICPGPSRGFSVSEYRSTCPY</t>
        </is>
      </c>
      <c r="AE379" s="5" t="inlineStr">
        <is>
          <t>Compost metagenome</t>
        </is>
      </c>
      <c r="AF379" s="5" t="n"/>
      <c r="AG379" s="5" t="inlineStr">
        <is>
          <t>supp_unavailable</t>
        </is>
      </c>
      <c r="AH379" s="5" t="inlineStr">
        <is>
          <t>ncbi</t>
        </is>
      </c>
      <c r="AI379" s="5" t="n"/>
      <c r="AJ379" s="5" t="n"/>
      <c r="AK379" s="5" t="n"/>
      <c r="AL379" s="5" t="n">
        <v>1</v>
      </c>
    </row>
    <row r="380" ht="15" customHeight="1" s="12">
      <c r="A380" s="5" t="inlineStr">
        <is>
          <t>both</t>
        </is>
      </c>
      <c r="B380" s="5" t="inlineStr">
        <is>
          <t>MEQLNRRAVLRATGTIGAAGALATLTQATPWTWAPANSIPGVGTGADPRTIFDDEADQVIARVIDSGKVVEVNNLLNQWRTNSQPLPAGLPPELRDFIEHARQLPSWTDRGKLAAAVRFNQRRGTYLGVLYGFASGMMSTVIPKEARAVYYSKGGWDLKDRISKTAKLGYDIGSLNAYQPDGEMVVTCVKTRMAHAGVRHLLPKSAHWVRSAPEEKPISQADIMVTWHSLPTTVMRNLEKWKVPLPADESEGFLHSWQVTAAMLGVQDQYIPNSWATADSQAKQVLDPILAWTPEGQKLADMLLDLGMDLDLTLLSRPILGALTRFMLGDKIADWLHIPREPVWTPLLETAWGPYVAVREGLLNAGLPRETYWLFDEFLRQFVLFYMAELRMPISIQIPYFNNPNYN</t>
        </is>
      </c>
      <c r="C380" s="5" t="n">
        <v>206</v>
      </c>
      <c r="D380" s="5" t="inlineStr">
        <is>
          <t>H6N162</t>
        </is>
      </c>
      <c r="E380" s="5" t="n">
        <v>16</v>
      </c>
      <c r="F380" s="5" t="inlineStr">
        <is>
          <t>Lcp</t>
        </is>
      </c>
      <c r="G380" s="5" t="inlineStr">
        <is>
          <t>oxygenase-like</t>
        </is>
      </c>
      <c r="H380" s="5" t="n"/>
      <c r="I380" s="5" t="inlineStr">
        <is>
          <t>Bacteria</t>
        </is>
      </c>
      <c r="J380" s="5" t="inlineStr">
        <is>
          <t>Gordonia polyisoprenivorans</t>
        </is>
      </c>
      <c r="K380" s="5" t="inlineStr">
        <is>
          <t>Lcp1VH2</t>
        </is>
      </c>
      <c r="L380" s="5" t="inlineStr">
        <is>
          <t>NR</t>
        </is>
      </c>
      <c r="M380" s="5" t="inlineStr">
        <is>
          <t>-</t>
        </is>
      </c>
      <c r="N380" s="5" t="inlineStr">
        <is>
          <t>Hiessl, 2012</t>
        </is>
      </c>
      <c r="O380" s="5" t="inlineStr">
        <is>
          <t>H6N162</t>
        </is>
      </c>
      <c r="P380" s="5" t="inlineStr">
        <is>
          <t>H6N162</t>
        </is>
      </c>
      <c r="Q380" s="5" t="inlineStr">
        <is>
          <t>-</t>
        </is>
      </c>
      <c r="R380" s="5" t="inlineStr">
        <is>
          <t>H6N162</t>
        </is>
      </c>
      <c r="S380" s="5" t="inlineStr">
        <is>
          <t>Latex clearing protein 1 Lcp</t>
        </is>
      </c>
      <c r="T380" s="5" t="inlineStr">
        <is>
          <t>Gordonia polyisoprenivorans (strain DSM 44266 / VH2)</t>
        </is>
      </c>
      <c r="U380" s="5">
        <f>FALSE()</f>
        <v/>
      </c>
      <c r="V380" s="5">
        <f>TRUE()</f>
        <v/>
      </c>
      <c r="W380" s="5" t="inlineStr">
        <is>
          <t>MEQLNRRAVLRATGTIGAAGALATLTQATPWTWAPANSIPGVGTGADPRTIFDDEADQVIARVIDSGKVVEVNNLLNQWRTNSQPLPAGLPPELRDFIEHARQLPSWTDRGKLAAAVRFNQRRGTYLGVLYGFASGMMSTVIPKEARAVYYSKGGWDLKDRISKTAKLGYDIGSLNAYQPDGEMVVTCVKTRMAHAGVRHLLPKSAHWVRSAPEEKPISQADIMVTWHSLPTTVMRNLEKWKVPLPADESEGFLHSWQVTAAMLGVQDQYIPNSWATADSQAKQVLDPILAWTPEGQKLADMLLDLGMDLDLTLLSRPILGALTRFMLGDKIADWLHIPREPVWTPLLETAWGPYVAVREGLLNAGLPRETYWLFDEFLRQFVLFYMAELRMPISIQIPYFNNPNYN</t>
        </is>
      </c>
      <c r="X380" s="5" t="n">
        <v>1</v>
      </c>
      <c r="Y380" s="5" t="inlineStr">
        <is>
          <t>Lcp1VH2</t>
        </is>
      </c>
      <c r="Z380" s="5" t="inlineStr">
        <is>
          <t>WP_006368739.1</t>
        </is>
      </c>
      <c r="AA380" s="5" t="inlineStr">
        <is>
          <t>Direct</t>
        </is>
      </c>
      <c r="AB380" s="5" t="n">
        <v>191</v>
      </c>
      <c r="AC380" s="5" t="inlineStr">
        <is>
          <t>10.1128/AEM.07969-11</t>
        </is>
      </c>
      <c r="AD380" s="5" t="inlineStr">
        <is>
          <t>MEQLNRRAVLRATGTIGAAGALATLTQATPWTWAPANSIPGVGTGADPRTIFDDEADQVIARVIDSGKVVEVNNLLNQWRTNSQPLPAGLPPELRDFIEHARQLPSWTDRGKLAAAVRFNQRRGTYLGVLYGFASGMMSTVIPKEARAVYYSKGGWDLKDRISKTAKLGYDIGSLNAYQPDGEMVVTCVKTRMAHAGVRHLLPKSAHWVRSAPEEKPISQADIMVTWHSLPTTVMRNLEKWKVPLPADESEGFLHSWQVTAAMLGVQDQYIPNSWATADSQAKQVLDPILAWTPEGQKLADMLLDLGMDLDLTLLSRPILGALTRFMLGDKIADWLHIPREPVWTPLLETAWGPYVAVREGLLNAGLPRETYWLFDEFLRQFVLFYMAELRMPISIQIPYFNNPNYN</t>
        </is>
      </c>
      <c r="AE380" s="5" t="inlineStr">
        <is>
          <t>Gordonia polyisoprenivorans</t>
        </is>
      </c>
      <c r="AF380" s="5" t="n">
        <v>84595</v>
      </c>
      <c r="AG380" s="5" t="inlineStr">
        <is>
          <t>supp_unavailable</t>
        </is>
      </c>
      <c r="AH380" s="5" t="inlineStr">
        <is>
          <t>ncbi</t>
        </is>
      </c>
      <c r="AI380" s="5" t="n"/>
      <c r="AJ380" s="5" t="n"/>
      <c r="AK380" s="5" t="n"/>
      <c r="AL380" s="5" t="n">
        <v>1</v>
      </c>
    </row>
    <row r="381" ht="15" customHeight="1" s="12">
      <c r="A381" s="5" t="inlineStr">
        <is>
          <t>both</t>
        </is>
      </c>
      <c r="B381" s="5" t="inlineStr">
        <is>
          <t>METVKGVHLAIAALLFLCVLPGNADASEKQFDLVLVHGLTNKHRWSDSFLRALVNEWGSGNVYVIYTNQSMQVSKRTIDGKTITFIGKNDFSAGDDSVKDQAEIMAEKIEVLKRDHGLSPQFYIIAHSMGGLVSRQYIYDHPNTVAGLVTLGTPHHGSPLASDFDWLGFFIGAEAAMDNLRPEWVEDFNRRFPVENAPLYNGGKIYTIRGDSDGKIWEWGAMGELYVGWHILHKKHGTDSDGLVPHASAVIEGAVHLADFPNYHHLDLVTREEVAKKAAEVLR</t>
        </is>
      </c>
      <c r="C381" s="5" t="n">
        <v>166</v>
      </c>
      <c r="D381" s="5" t="inlineStr">
        <is>
          <t>BAF57212.1</t>
        </is>
      </c>
      <c r="E381" s="5" t="n">
        <v>5</v>
      </c>
      <c r="F381" s="5" t="inlineStr">
        <is>
          <t>PlaM</t>
        </is>
      </c>
      <c r="G381" s="5" t="inlineStr">
        <is>
          <t>Alpha/Beta Hydrolase</t>
        </is>
      </c>
      <c r="H381" s="5" t="inlineStr">
        <is>
          <t>3.40.50.1820</t>
        </is>
      </c>
      <c r="I381" s="5" t="inlineStr">
        <is>
          <t>Metagenome</t>
        </is>
      </c>
      <c r="J381" s="5" t="inlineStr">
        <is>
          <t>Metagenome</t>
        </is>
      </c>
      <c r="K381" s="5" t="inlineStr">
        <is>
          <t>PlaM7 depolymerase</t>
        </is>
      </c>
      <c r="L381" s="5" t="inlineStr">
        <is>
          <t>PLA</t>
        </is>
      </c>
      <c r="M381" s="5" t="inlineStr">
        <is>
          <t>EC 3.1.1.1</t>
        </is>
      </c>
      <c r="N381" s="5" t="inlineStr">
        <is>
          <t>Mayumi, 2008</t>
        </is>
      </c>
      <c r="O381" s="5" t="inlineStr">
        <is>
          <t>AB302138; A4UZ12</t>
        </is>
      </c>
      <c r="P381" s="5" t="inlineStr">
        <is>
          <t>BAF57212.1</t>
        </is>
      </c>
      <c r="Q381" s="5" t="inlineStr">
        <is>
          <t>-</t>
        </is>
      </c>
      <c r="R381" s="5" t="inlineStr">
        <is>
          <t>A4UZ12</t>
        </is>
      </c>
      <c r="S381" s="5" t="inlineStr">
        <is>
          <t>PLA depolymerase</t>
        </is>
      </c>
      <c r="T381" s="5" t="inlineStr">
        <is>
          <t>uncultured bacterium</t>
        </is>
      </c>
      <c r="U381" s="5">
        <f>FALSE()</f>
        <v/>
      </c>
      <c r="V381" s="5">
        <f>TRUE()</f>
        <v/>
      </c>
      <c r="W381" s="5" t="inlineStr">
        <is>
          <t>METVKGVHLAIAALLFLCVLPGNADASEKQFDLVLVHGLTNKHRWSDSFLRALVNEWGSGNVYVIYTNQSMQVSKRTIDGKTITFIGKNDFSAGDDSVKDQAEIMAEKIEVLKRDHGLSPQFYIIAHSMGGLVSRQYIYDHPNTVAGLVTLGTPHHGSPLASDFDWLGFFIGAEAAMDNLRPEWVEDFNRRFPVENAPLYNGGKIYTIRGDSDGKIWEWGAMGELYVGWHILHKKHGTDSDGLVPHASAVIEGAVHLADFPNYHHLDLVTREEVAKKAAEVLR</t>
        </is>
      </c>
      <c r="X381" s="5" t="n">
        <v>1</v>
      </c>
      <c r="Y381" s="5" t="inlineStr">
        <is>
          <t>PlaM7</t>
        </is>
      </c>
      <c r="Z381" s="5" t="inlineStr">
        <is>
          <t>BAF57212.1</t>
        </is>
      </c>
      <c r="AA381" s="5" t="inlineStr">
        <is>
          <t>Direct</t>
        </is>
      </c>
      <c r="AB381" s="5" t="n">
        <v>90</v>
      </c>
      <c r="AC381" s="5" t="inlineStr">
        <is>
          <t>10.1007/s00253-008-1477-3</t>
        </is>
      </c>
      <c r="AD381" s="5" t="inlineStr">
        <is>
          <t>METVKGVHLAIAALLFLCVLPGNADASEKQFDLVLVHGLTNKHRWSDSFLRALVNEWGSGNVYVIYTNQSMQVSKRTIDGKTITFIGKNDFSAGDDSVKDQAEIMAEKIEVLKRDHGLSPQFYIIAHSMGGLVSRQYIYDHPNTVAGLVTLGTPHHGSPLASDFDWLGFFIGAEAAMDNLRPEWVEDFNRRFPVENAPLYNGGKIYTIRGDSDGKIWEWGAMGELYVGWHILHKKHGTDSDGLVPHASAVIEGAVHLADFPNYHHLDLVTREEVAKKAAEVLR</t>
        </is>
      </c>
      <c r="AE381" s="5" t="inlineStr">
        <is>
          <t>PLA disk compost metagenome</t>
        </is>
      </c>
      <c r="AF381" s="5" t="n"/>
      <c r="AG381" s="5" t="inlineStr">
        <is>
          <t>supp_unavailable</t>
        </is>
      </c>
      <c r="AH381" s="5" t="inlineStr">
        <is>
          <t>ncbi</t>
        </is>
      </c>
      <c r="AI381" s="5" t="n"/>
      <c r="AJ381" s="5" t="n"/>
      <c r="AK381" s="5" t="n"/>
      <c r="AL381" s="5" t="n">
        <v>1</v>
      </c>
    </row>
    <row r="382" ht="15" customHeight="1" s="12">
      <c r="A382" s="5" t="inlineStr">
        <is>
          <t>both</t>
        </is>
      </c>
      <c r="B382" s="5" t="inlineStr">
        <is>
          <t>MFDSVKIAWLVALGAAQVAATALPAFNVNPNSVSVSGLSSGGYMAAQLGVAYSDVFNVGFGVFAGGPYDCARNQYYTSCMYNGYPSITTPTANMKSWSGNQIASVANLGQRKIYMWTGSSDTTVGPNVMNQLKAQLGNFDNSANVSYVTTTGAVHTFPTDFNGAGDNSCSLSTSPYISNCNYDGAGAALKWIYGSLNARNTGTLSGSVLSFAQSGSYGANGMDTTGYLYVPQSCASGATVCSLHVALHGCLQSYSSIGSRFIQNTGYNKWADTNNMIILYPQAIPDYTIHAIWNGGVLSNPNGCWDWVGWYGSNADQIGGVQMAAIVGQVKQIVSGFQG</t>
        </is>
      </c>
      <c r="C382" s="5" t="n">
        <v>122</v>
      </c>
      <c r="D382" s="5" t="inlineStr">
        <is>
          <t>BAG32152.1</t>
        </is>
      </c>
      <c r="E382" s="5" t="n">
        <v>27</v>
      </c>
      <c r="F382" s="5" t="inlineStr">
        <is>
          <t>Ipet</t>
        </is>
      </c>
      <c r="G382" s="5" t="inlineStr">
        <is>
          <t>Alpha/Beta Hydrolase</t>
        </is>
      </c>
      <c r="H382" s="5" t="inlineStr">
        <is>
          <t>3.40.50.1820</t>
        </is>
      </c>
      <c r="I382" s="5" t="inlineStr">
        <is>
          <t>Eukarya</t>
        </is>
      </c>
      <c r="J382" s="5" t="inlineStr">
        <is>
          <t>Talaromyces funiculosus</t>
        </is>
      </c>
      <c r="K382" s="5" t="inlineStr">
        <is>
          <t>PHAase</t>
        </is>
      </c>
      <c r="L382" s="5" t="inlineStr">
        <is>
          <t>PHA</t>
        </is>
      </c>
      <c r="M382" s="5" t="inlineStr">
        <is>
          <t>-</t>
        </is>
      </c>
      <c r="N382" s="5" t="inlineStr">
        <is>
          <t>Miyazaki, 2000; Brucato, 1991</t>
        </is>
      </c>
      <c r="O382" s="5" t="inlineStr">
        <is>
          <t>B2NHN2</t>
        </is>
      </c>
      <c r="P382" s="5" t="inlineStr">
        <is>
          <t>BAG32152.1</t>
        </is>
      </c>
      <c r="Q382" s="5" t="inlineStr">
        <is>
          <t>2D81</t>
        </is>
      </c>
      <c r="R382" s="5" t="inlineStr">
        <is>
          <t>B2NHN2</t>
        </is>
      </c>
      <c r="S382" s="5" t="inlineStr">
        <is>
          <t>poly(3-hydroxybutyrate) depolymerase</t>
        </is>
      </c>
      <c r="T382" s="5" t="inlineStr">
        <is>
          <t>Talaromyces funiculosus</t>
        </is>
      </c>
      <c r="U382" s="5">
        <f>FALSE()</f>
        <v/>
      </c>
      <c r="V382" s="5">
        <f>TRUE()</f>
        <v/>
      </c>
      <c r="W382" s="5" t="inlineStr">
        <is>
          <t>MFDSVKIAWLVALGAAQVAATALPAFNVNPNSVSVSGLSSGGYMAAQLGVAYSDVFNVGFGVFAGGPYDCARNQYYTSCMYNGYPSITTPTANMKSWSGNQIASVANLGQRKIYMWTGSSDTTVGPNVMNQLKAQLGNFDNSANVSYVTTTGAVHTFPTDFNGAGDNSCSLSTSPYISNCNYDGAGAALKWIYGSLNARNTGTLSGSVLSFAQSGSYGANGMDTTGYLYVPQSCASGATVCSLHVALHGCLQSYSSIGSRFIQNTGYNKWADTNNMIILYPQAIPDYTIHAIWNGGVLSNPNGCWDWVGWYGSNADQIGGVQMAAIVGQVKQIVSGFQG</t>
        </is>
      </c>
      <c r="X382" s="5" t="n">
        <v>1</v>
      </c>
      <c r="Y382" s="5" t="inlineStr">
        <is>
          <t>PHB depolymerase</t>
        </is>
      </c>
      <c r="Z382" s="5" t="inlineStr">
        <is>
          <t>BAG32152.1</t>
        </is>
      </c>
      <c r="AA382" s="5" t="inlineStr">
        <is>
          <t>Direct</t>
        </is>
      </c>
      <c r="AB382" s="5" t="n">
        <v>115</v>
      </c>
      <c r="AC382" s="5" t="inlineStr">
        <is>
          <t>10.1016/0003-9861(91)90572-Z; 10.1023/A:1015245710406</t>
        </is>
      </c>
      <c r="AD382" s="5" t="inlineStr">
        <is>
          <t>MFDSVKIAWLVALGAAQVAATALPAFNVNPNSVSVSGLSSGGYMAAQLGVAYSDVFNVGFGVFAGGPYDCARNQYYTSCMYNGYPSITTPTANMKSWSGNQIASVANLGQRKIYMWTGSSDTTVGPNVMNQLKAQLGNFDNSANVSYVTTTGAVHTFPTDFNGAGDNSCSLSTSPYISNCNYDGAGAALKWIYGSLNARNTGTLSGSVLSFAQSGSYGANGMDTTGYLYVPQSCASGATVCSLHVALHGCLQSYSSIGSRFIQNTGYNKWADTNNMIILYPQAIPDYTIHAIWNGGVLSNPNGCWDWVGWYGSNADQIGGVQMAAIVGQVKQIVSGFQG</t>
        </is>
      </c>
      <c r="AE382" s="5" t="inlineStr">
        <is>
          <t>Talaromyces funiculosus</t>
        </is>
      </c>
      <c r="AF382" s="5" t="n">
        <v>28572</v>
      </c>
      <c r="AG382" s="5" t="inlineStr">
        <is>
          <t>supp_unavailable</t>
        </is>
      </c>
      <c r="AH382" s="5" t="inlineStr">
        <is>
          <t>ncbi</t>
        </is>
      </c>
      <c r="AI382" s="5" t="n"/>
      <c r="AJ382" s="5" t="n"/>
      <c r="AK382" s="5" t="n"/>
      <c r="AL382" s="5" t="n">
        <v>1</v>
      </c>
    </row>
    <row r="383" ht="15" customHeight="1" s="12">
      <c r="A383" s="5" t="inlineStr">
        <is>
          <t>both</t>
        </is>
      </c>
      <c r="B383" s="5" t="inlineStr">
        <is>
          <t>MFGKLPFARASLAVGALLLSAAAVAQTNPYQRGPDPTVSSLEATRGPFSTSSFTVSRPSGYGAGTVYYPTNAGGKVGAIAVVPGYTARQSSINWWGPRLASHGFVVITIDTNSTLDQPSSRSSQQMAALRQVVSLAGTSSSPIYNKVDTARLGVMGWSMGGGGSLISAKNNPSLRAAAPQAPWAQESFSSVTVPTLIVSCENDSIAPNSSHSFPFYNQMTRNKKANLVINGGSHSCANSGNSDAGLIGKYGVAWMKRFMDDDTRYSKFLCGAEHQADLSKRAVEAYKENCPY</t>
        </is>
      </c>
      <c r="C383" s="5" t="n">
        <v>4</v>
      </c>
      <c r="D383" s="5" t="inlineStr">
        <is>
          <t>A0A1W6L588</t>
        </is>
      </c>
      <c r="E383" s="5" t="n">
        <v>1</v>
      </c>
      <c r="F383" s="5" t="inlineStr">
        <is>
          <t>Ipet</t>
        </is>
      </c>
      <c r="G383" s="5" t="inlineStr">
        <is>
          <t>Alpha/Beta Hydrolase</t>
        </is>
      </c>
      <c r="H383" s="5" t="inlineStr">
        <is>
          <t>3.40.50.1820</t>
        </is>
      </c>
      <c r="I383" s="5" t="inlineStr">
        <is>
          <t>Bacteria</t>
        </is>
      </c>
      <c r="J383" s="5" t="inlineStr">
        <is>
          <t>Pseudomonas sp. strain 9.2</t>
        </is>
      </c>
      <c r="K383" s="5" t="inlineStr">
        <is>
          <t>EstB</t>
        </is>
      </c>
      <c r="L383" s="5" t="inlineStr">
        <is>
          <t>PET</t>
        </is>
      </c>
      <c r="M383" s="5" t="inlineStr">
        <is>
          <t>EC 3.1.1.1</t>
        </is>
      </c>
      <c r="N383" s="5" t="inlineStr">
        <is>
          <t>Sagong, 2021, Avilan, 2023</t>
        </is>
      </c>
      <c r="O383" s="5" t="inlineStr">
        <is>
          <t>A4W93_05950</t>
        </is>
      </c>
      <c r="P383" s="5" t="inlineStr">
        <is>
          <t>A4W93_05950</t>
        </is>
      </c>
      <c r="Q383" s="5" t="inlineStr">
        <is>
          <t>7DZT</t>
        </is>
      </c>
      <c r="R383" s="5" t="inlineStr">
        <is>
          <t>A4W93_05950</t>
        </is>
      </c>
      <c r="S383" s="5" t="inlineStr">
        <is>
          <t>Dienelactone hydrolase domain-containing protein</t>
        </is>
      </c>
      <c r="T383" s="5" t="inlineStr">
        <is>
          <t>Piscinibacter gummiphilus</t>
        </is>
      </c>
      <c r="U383" s="5">
        <f>FALSE()</f>
        <v/>
      </c>
      <c r="V383" s="5">
        <f>TRUE()</f>
        <v/>
      </c>
      <c r="W383" s="5" t="inlineStr">
        <is>
          <t>MFGKLPFARASLAVGALLLSAAAVAQTNPYQRGPDPTVSSLEATRGPFSTSSFTVSRPSGYGAGTVYYPTNAGGKVGAIAVVPGYTARQSSINWWGPRLASHGFVVITIDTNSTLDQPSSRSSQQMAALRQVVSLAGTSSSPIYNKVDTARLGVMGWSMGGGGSLISAKNNPSLRAAAPQAPWAQESFSSVTVPTLIVSCENDSIAPNSSHSFPFYNQMTRNKKANLVINGGSHSCANSGNSDAGLIGKYGVAWMKRFMDDDTRYSKFLCGAEHQADLSKRAVEAYKENCPY</t>
        </is>
      </c>
      <c r="X383" s="5" t="n">
        <v>1</v>
      </c>
      <c r="Y383" s="5" t="inlineStr">
        <is>
          <t>RgPETase</t>
        </is>
      </c>
      <c r="Z383" s="5" t="inlineStr">
        <is>
          <t>WP_085749752.1</t>
        </is>
      </c>
      <c r="AA383" s="5" t="inlineStr">
        <is>
          <t>Direct</t>
        </is>
      </c>
      <c r="AB383" s="5" t="n">
        <v>15</v>
      </c>
      <c r="AC383" s="5" t="inlineStr">
        <is>
          <t>10.1016/j.jhazmat.2021.126075; 10.1002/cssc.202202277</t>
        </is>
      </c>
      <c r="AD383" s="5" t="inlineStr">
        <is>
          <t>MFGKLPFARASLAVGALLLSAAAVAQTNPYQRGPDPTVSSLEATRGPFSTSSFTVSRPSGYGAGTVYYPTNAGGKVGAIAVVPGYTARQSSINWWGPRLASHGFVVITIDTNSTLDQPSSRSSQQMAALRQVVSLAGTSSSPIYNKVDTARLGVMGWSMGGGGSLISAKNNPSLRAAAPQAPWAQESFSSVTVPTLIVSCENDSIAPNSSHSFPFYNQMTRNKKANLVINGGSHSCANSGNSDAGLIGKYGVAWMKRFMDDDTRYSKFLCGAEHQADLSKRAVEAYKENCPY</t>
        </is>
      </c>
      <c r="AE383" s="5" t="inlineStr">
        <is>
          <t>Piscinibacter gummiphilus</t>
        </is>
      </c>
      <c r="AF383" s="5" t="n">
        <v>946333</v>
      </c>
      <c r="AG383" s="5" t="inlineStr">
        <is>
          <t>supp_unavailable</t>
        </is>
      </c>
      <c r="AH383" s="5" t="inlineStr">
        <is>
          <t>ncbi</t>
        </is>
      </c>
      <c r="AI383" s="5" t="n"/>
      <c r="AJ383" s="5" t="n"/>
      <c r="AK383" s="5" t="n"/>
      <c r="AL383" s="5" t="n">
        <v>1</v>
      </c>
    </row>
    <row r="384" ht="15" customHeight="1" s="12">
      <c r="A384" s="5" t="inlineStr">
        <is>
          <t>both</t>
        </is>
      </c>
      <c r="B384" s="5" t="inlineStr">
        <is>
      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  <c r="C384" s="5" t="n">
        <v>43</v>
      </c>
      <c r="D384" s="5" t="inlineStr">
        <is>
          <t>P19833.1</t>
        </is>
      </c>
      <c r="E384" s="5" t="n">
        <v>1</v>
      </c>
      <c r="F384" s="5" t="inlineStr">
        <is>
          <t>Ipet</t>
        </is>
      </c>
      <c r="G384" s="5" t="inlineStr">
        <is>
          <t>Alpha/Beta Hydrolase</t>
        </is>
      </c>
      <c r="H384" s="5" t="inlineStr">
        <is>
          <t>3.40.50.1820</t>
        </is>
      </c>
      <c r="I384" s="5" t="inlineStr">
        <is>
          <t>Bacteria</t>
        </is>
      </c>
      <c r="J384" s="5" t="inlineStr">
        <is>
          <t>Pseudomonas alcaligenes</t>
        </is>
      </c>
      <c r="K384" s="5" t="inlineStr">
        <is>
          <t>PaCut</t>
        </is>
      </c>
      <c r="L384" s="5" t="inlineStr">
        <is>
          <t>PET</t>
        </is>
      </c>
      <c r="M384" s="5" t="inlineStr">
        <is>
          <t>EC 3.1.1.3</t>
        </is>
      </c>
      <c r="N384" s="5" t="inlineStr">
        <is>
          <t>Blasquez-Sanchez, 2021</t>
        </is>
      </c>
      <c r="O384" s="5" t="inlineStr">
        <is>
          <t>P19833</t>
        </is>
      </c>
      <c r="P384" s="5" t="inlineStr">
        <is>
          <t>P19833.1</t>
        </is>
      </c>
      <c r="Q384" s="5" t="inlineStr">
        <is>
          <t>8SPK</t>
        </is>
      </c>
      <c r="R384" s="5" t="inlineStr">
        <is>
          <t>P19833</t>
        </is>
      </c>
      <c r="S384" s="5" t="inlineStr">
        <is>
          <t>Lipase 1</t>
        </is>
      </c>
      <c r="T384" s="5" t="inlineStr">
        <is>
          <t>-</t>
        </is>
      </c>
      <c r="U384" s="5">
        <f>FALSE()</f>
        <v/>
      </c>
      <c r="V384" s="5">
        <f>TRUE()</f>
        <v/>
      </c>
      <c r="W384" s="5" t="inlineStr">
        <is>
      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  <c r="X384" s="5" t="n">
        <v>1</v>
      </c>
      <c r="Y384" s="5" t="inlineStr">
        <is>
          <t>Mors1</t>
        </is>
      </c>
      <c r="Z384" s="5" t="inlineStr">
        <is>
          <t>P19833.1</t>
        </is>
      </c>
      <c r="AA384" s="5" t="inlineStr">
        <is>
          <t>Direct</t>
        </is>
      </c>
      <c r="AB384" s="5" t="n">
        <v>11</v>
      </c>
      <c r="AC384" s="5" t="inlineStr">
        <is>
          <t>10.1128/AEM.01842-21; 10.1016/j.jhazmat.2022.128900; 10.1039/D4SU00722K</t>
        </is>
      </c>
      <c r="AD384" s="5" t="inlineStr">
        <is>
      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  <c r="AE384" s="5" t="inlineStr">
        <is>
          <t>Moraxella sp. TA144</t>
        </is>
      </c>
      <c r="AF384" s="5" t="n">
        <v>77152</v>
      </c>
      <c r="AG384" s="5" t="inlineStr">
        <is>
          <t>supp_unavailable</t>
        </is>
      </c>
      <c r="AH384" s="5" t="inlineStr">
        <is>
          <t>ncbi</t>
        </is>
      </c>
      <c r="AI384" s="5" t="n"/>
      <c r="AJ384" s="5" t="n"/>
      <c r="AK384" s="5" t="n"/>
      <c r="AL384" s="5" t="n">
        <v>1</v>
      </c>
    </row>
    <row r="385" ht="15" customHeight="1" s="12">
      <c r="A385" s="5" t="inlineStr">
        <is>
          <t>both</t>
        </is>
      </c>
      <c r="B385" s="5" t="inlineStr">
        <is>
          <t>MFNQIGKKSALSLMAAGSLMFSATALAIGGGGSGGGNNGGGGGCEA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  <c r="C385" s="5" t="n">
        <v>60</v>
      </c>
      <c r="D385" s="5" t="inlineStr">
        <is>
          <t>UUT36763.1</t>
        </is>
      </c>
      <c r="E385" s="5" t="n">
        <v>1</v>
      </c>
      <c r="F385" s="5" t="inlineStr">
        <is>
          <t>Ipet</t>
        </is>
      </c>
      <c r="G385" s="5" t="inlineStr">
        <is>
          <t>Alpha/Beta Hydrolase</t>
        </is>
      </c>
      <c r="H385" s="5" t="inlineStr">
        <is>
          <t>3.40.50.1820</t>
        </is>
      </c>
      <c r="I385" s="5" t="inlineStr">
        <is>
          <t>Bacteria</t>
        </is>
      </c>
      <c r="J385" s="5" t="inlineStr">
        <is>
          <t>Marinobacter sp.</t>
        </is>
      </c>
      <c r="K385" s="5" t="inlineStr">
        <is>
          <t>PLE628</t>
        </is>
      </c>
      <c r="L385" s="5" t="inlineStr">
        <is>
          <t>PET; PBAT</t>
        </is>
      </c>
      <c r="M385" s="5" t="inlineStr">
        <is>
          <t>EC 3.1.1.1</t>
        </is>
      </c>
      <c r="N385" s="5" t="inlineStr">
        <is>
          <t>Meyer Cifuentes, 2022</t>
        </is>
      </c>
      <c r="O385" s="5" t="inlineStr">
        <is>
          <t>OK558824</t>
        </is>
      </c>
      <c r="P385" s="5" t="inlineStr">
        <is>
          <t>UUT36763.1</t>
        </is>
      </c>
      <c r="Q385" s="5" t="n"/>
      <c r="R385" s="5" t="inlineStr">
        <is>
          <t>-</t>
        </is>
      </c>
      <c r="S385" s="5" t="inlineStr">
        <is>
          <t>hypothetical protein</t>
        </is>
      </c>
      <c r="T385" s="5" t="inlineStr">
        <is>
          <t>Marinobacter sp.</t>
        </is>
      </c>
      <c r="U385" s="5">
        <f>FALSE()</f>
        <v/>
      </c>
      <c r="V385" s="5">
        <f>TRUE()</f>
        <v/>
      </c>
      <c r="W385" s="5" t="inlineStr">
        <is>
          <t>MFNQIGKKSALSLMAAGSLMFSATALAIGGGGSGGGNNGGGGGCEA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  <c r="X385" s="5" t="n">
        <v>1</v>
      </c>
      <c r="Y385" s="5" t="inlineStr">
        <is>
          <t>PLE629</t>
        </is>
      </c>
      <c r="Z385" s="5" t="inlineStr">
        <is>
          <t>UUT36763</t>
        </is>
      </c>
      <c r="AA385" s="5" t="inlineStr">
        <is>
          <t>Indirect</t>
        </is>
      </c>
      <c r="AB385" s="5" t="n">
        <v>6</v>
      </c>
      <c r="AC385" s="5" t="inlineStr">
        <is>
          <t>10.1038/s41467-020-19583-2; 10.3389/fbioe.2022.930140</t>
        </is>
      </c>
      <c r="AD385" s="5" t="inlineStr">
        <is>
          <t>MFNQIGKKSALSLMAAGSLMFSATALAIGGGGSGGGNNGGGGGCEA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  <c r="AE385" s="5" t="inlineStr">
        <is>
          <t>Marinobacter sp.</t>
        </is>
      </c>
      <c r="AF385" s="5" t="n">
        <v>50741</v>
      </c>
      <c r="AG385" s="5" t="inlineStr">
        <is>
          <t>supp_unavailable</t>
        </is>
      </c>
      <c r="AH385" s="5" t="inlineStr">
        <is>
          <t>ncbi</t>
        </is>
      </c>
      <c r="AI385" s="5" t="n"/>
      <c r="AJ385" s="5" t="n"/>
      <c r="AK385" s="5" t="n"/>
      <c r="AL385" s="5" t="n">
        <v>1</v>
      </c>
    </row>
    <row r="386" ht="15" customHeight="1" s="12">
      <c r="A386" s="5" t="inlineStr">
        <is>
          <t>both</t>
        </is>
      </c>
      <c r="B386" s="5" t="inlineStr">
        <is>
          <t>MFQRVWALTAALMLMLSLGATSSHAAQNPHERGPDPSNSYIEQARGSYSVSQRSISRLGSDGFRDGTMYYPTSTADGRFGVVAISPGYTASESTIAWLGPRLASFGFVVVTINTDSRYDQPRQRATQLHAALDHAIGDSVVGPRIDTSRQAVMGHSMGGGGALQAAEERDEIRAAVPLTPWNLKKGWSGVDAATLVIGAENDAIAPVRSHSIPFYESLTNAERRAYLELRREGHFAPNSSNTLIAKYSVSWLKRYVDNDLRYDQFIDPGPRTGITTGVSDYRLG</t>
        </is>
      </c>
      <c r="C386" s="5" t="n">
        <v>28</v>
      </c>
      <c r="D386" s="5" t="inlineStr">
        <is>
          <t>DAC80635.1</t>
        </is>
      </c>
      <c r="E386" s="5" t="n">
        <v>1</v>
      </c>
      <c r="F386" s="5" t="inlineStr">
        <is>
          <t>Ipet</t>
        </is>
      </c>
      <c r="G386" s="5" t="inlineStr">
        <is>
          <t>Alpha/Beta Hydrolase</t>
        </is>
      </c>
      <c r="H386" s="5" t="inlineStr">
        <is>
          <t>3.40.50.1820</t>
        </is>
      </c>
      <c r="I386" s="5" t="inlineStr">
        <is>
          <t>Bacteria</t>
        </is>
      </c>
      <c r="J386" s="5" t="inlineStr">
        <is>
          <t>Streptomyces sp.</t>
        </is>
      </c>
      <c r="K386" s="5" t="inlineStr">
        <is>
          <t>SM14; SM14est</t>
        </is>
      </c>
      <c r="L386" s="5" t="inlineStr">
        <is>
          <t>PET</t>
        </is>
      </c>
      <c r="M386" s="5" t="inlineStr">
        <is>
          <t>-</t>
        </is>
      </c>
      <c r="N386" s="5" t="inlineStr">
        <is>
          <t>Almeida, 2019; Carr, 2023</t>
        </is>
      </c>
      <c r="O386" s="5" t="inlineStr">
        <is>
          <t>DAC80635</t>
        </is>
      </c>
      <c r="P386" s="5" t="inlineStr">
        <is>
          <t>DAC80635.1</t>
        </is>
      </c>
      <c r="Q386" s="5" t="inlineStr">
        <is>
          <t>-</t>
        </is>
      </c>
      <c r="R386" s="5" t="inlineStr">
        <is>
          <t>A0A679PDB4</t>
        </is>
      </c>
      <c r="S386" s="5" t="inlineStr">
        <is>
          <t>alpha/beta hydrolase</t>
        </is>
      </c>
      <c r="T386" s="5" t="inlineStr">
        <is>
          <t>Streptomyces sp. SM14</t>
        </is>
      </c>
      <c r="U386" s="5">
        <f>FALSE()</f>
        <v/>
      </c>
      <c r="V386" s="5">
        <f>TRUE()</f>
        <v/>
      </c>
      <c r="W386" s="5" t="inlineStr">
        <is>
          <t>MFQRVWALTAALMLMLSLGATSSHAAQNPHERGPDPSNSYIEQARGSYSVSQRSISRLGSDGFRDGTMYYPTSTADGRFGVVAISPGYTASESTIAWLGPRLASFGFVVVTINTDSRYDQPRQRATQLHAALDHAIGDSVVGPRIDTSRQAVMGHSMGGGGALQAAEERDEIRAAVPLTPWNLKKGWSGVDAATLVIGAENDAIAPVRSHSIPFYESLTNAERRAYLELRREGHFAPNSSNTLIAKYSVSWLKRYVDNDLRYDQFIDPGPRTGITTGVSDYRLG</t>
        </is>
      </c>
      <c r="X386" s="5" t="n">
        <v>1</v>
      </c>
      <c r="Y386" s="5" t="inlineStr">
        <is>
          <t>SM14est</t>
        </is>
      </c>
      <c r="Z386" s="5" t="inlineStr">
        <is>
          <t>DAC80635.1</t>
        </is>
      </c>
      <c r="AA386" s="5" t="inlineStr">
        <is>
          <t>Direct</t>
        </is>
      </c>
      <c r="AB386" s="5" t="n">
        <v>185</v>
      </c>
      <c r="AC386" s="5" t="inlineStr">
        <is>
          <t>10.3389/fmicb.2019.02187; 10.3389/fmicb.2023.1170880</t>
        </is>
      </c>
      <c r="AD386" s="5" t="inlineStr">
        <is>
          <t>MFQRVWALTAALMLMLSLGATSSHAAQNPHERGPDPSNSYIEQARGSYSVSQRSISRLGSDGFRDGTMYYPTSTADGRFGVVAISPGYTASESTIAWLGPRLASFGFVVVTINTDSRYDQPRQRATQLHAALDHAIGDSVVGPRIDTSRQAVMGHSMGGGGALQAAEERDEIRAAVPLTPWNLKKGWSGVDAATLVIGAENDAIAPVRSHSIPFYESLTNAERRAYLELRREGHFAPNSSNTLIAKYSVSWLKRYVDNDLRYDQFIDPGPRTGITTGVSDYRLG</t>
        </is>
      </c>
      <c r="AE386" s="5" t="inlineStr">
        <is>
          <t>Streptomyces sp. SM14</t>
        </is>
      </c>
      <c r="AF386" s="5" t="n">
        <v>1736045</v>
      </c>
      <c r="AG386" s="5" t="inlineStr">
        <is>
          <t>supp_unavailable</t>
        </is>
      </c>
      <c r="AH386" s="5" t="inlineStr">
        <is>
          <t>ncbi</t>
        </is>
      </c>
      <c r="AI386" s="5" t="n"/>
      <c r="AJ386" s="5" t="n"/>
      <c r="AK386" s="5" t="n"/>
      <c r="AL386" s="5" t="n">
        <v>1</v>
      </c>
    </row>
    <row r="387" ht="15" customHeight="1" s="12">
      <c r="A387" s="5" t="inlineStr">
        <is>
          <t>both</t>
        </is>
      </c>
      <c r="B387" s="5" t="inlineStr">
        <is>
          <t>MFRFHIVSALLTLFIAVPSQAHDVGQREIKISGAEPGRNLEVSVWYPAAIDGKATLIGDNIIFKGAPAVIDATPEKGSFPLLVMSHGSGGRAQGMAWLATELVKAGIIVAAPNHPGTTSGDSTPQDTPKIWQRTGDLSAVIDTMTTDPAWSGIIDKNKISVLGFSLGGAAAMEIAGARANLEAYARYCDTYGKWDCAWYAGGIGYRDDKQIKVDKVDLRSVDKSRFEQSNLDRRIASAIMIDPGLAQAYDAQSLASISIPMSFINLGEVETIPTGVVADKLASITPQGTYVTVAGATHFSFLPECKKGAADRLKSAGEVDPICSDDARRPRADIHADITKLVLKALQSMPKT</t>
        </is>
      </c>
      <c r="C387" s="5" t="n">
        <v>134</v>
      </c>
      <c r="D387" s="5" t="inlineStr">
        <is>
          <t>WP_010659881.1</t>
        </is>
      </c>
      <c r="E387" s="5" t="n">
        <v>35</v>
      </c>
      <c r="F387" s="5" t="inlineStr">
        <is>
          <t>Ipet</t>
        </is>
      </c>
      <c r="G387" s="5" t="inlineStr">
        <is>
          <t>Alpha/Beta Hydrolase</t>
        </is>
      </c>
      <c r="H387" s="5" t="inlineStr">
        <is>
          <t>3.40.50.1820</t>
        </is>
      </c>
      <c r="I387" s="5" t="inlineStr">
        <is>
          <t>Bacteria</t>
        </is>
      </c>
      <c r="J387" s="5" t="inlineStr">
        <is>
          <t>Pseudomonadota bacterium</t>
        </is>
      </c>
      <c r="K387" s="5" t="inlineStr">
        <is>
          <t>dsPETase06</t>
        </is>
      </c>
      <c r="L387" s="5" t="inlineStr">
        <is>
          <t>PET</t>
        </is>
      </c>
      <c r="M387" s="5" t="inlineStr">
        <is>
          <t>-</t>
        </is>
      </c>
      <c r="N387" s="5" t="inlineStr">
        <is>
          <t>Jin, 2024</t>
        </is>
      </c>
      <c r="O387" s="5" t="inlineStr">
        <is>
          <t>WP_010659881.1</t>
        </is>
      </c>
      <c r="P387" s="5" t="inlineStr">
        <is>
          <t>WP_010659881.1</t>
        </is>
      </c>
      <c r="Q387" s="5" t="inlineStr">
        <is>
          <t>-</t>
        </is>
      </c>
      <c r="R387" s="5" t="inlineStr">
        <is>
          <t>A0A6I0DYC0</t>
        </is>
      </c>
      <c r="S387" s="5" t="inlineStr">
        <is>
          <t>serine aminopeptidase domain-containing protein</t>
        </is>
      </c>
      <c r="T387" s="5" t="inlineStr">
        <is>
          <t>Brucella</t>
        </is>
      </c>
      <c r="U387" s="5">
        <f>FALSE()</f>
        <v/>
      </c>
      <c r="V387" s="5">
        <f>TRUE()</f>
        <v/>
      </c>
      <c r="W387" s="5" t="inlineStr">
        <is>
          <t>MFRFHIVSALLTLFIAVPSQAHDVGQREIKISGAEPGRNLEVSVWYPAAIDGKATLIGDNIIFKGAPAVIDATPEKGSFPLLVMSHGSGGRAQGMAWLATELVKAGIIVAAPNHPGTTSGDSTPQDTPKIWQRTGDLSAVIDTMTTDPAWSGIIDKNKISVLGFSLGGAAAMEIAGARANLEAYARYCDTYGKWDCAWYAGGIGYRDDKQIKVDKVDLRSVDKSRFEQSNLDRRIASAIMIDPGLAQAYDAQSLASISIPMSFINLGEVETIPTGVVADKLASITPQGTYVTVAGATHFSFLPECKKGAADRLKSAGEVDPICSDDARRPRADIHADITKLVLKALQSMPKT</t>
        </is>
      </c>
      <c r="X387" s="5" t="n">
        <v>1</v>
      </c>
      <c r="Y387" s="5" t="inlineStr">
        <is>
          <t>PD3</t>
        </is>
      </c>
      <c r="Z387" s="5" t="inlineStr">
        <is>
          <t>QPA27412.1</t>
        </is>
      </c>
      <c r="AA387" s="5" t="inlineStr">
        <is>
          <t>Direct</t>
        </is>
      </c>
      <c r="AB387" s="5" t="n">
        <v>244</v>
      </c>
      <c r="AC387" s="5" t="inlineStr">
        <is>
          <t>10.1021/acsomega.4c04843</t>
        </is>
      </c>
      <c r="AD387" s="5" t="inlineStr">
        <is>
          <t>MFRFHIVSALLTLFIAVPSQAHDVGQREIKISGAEPGRNLEVSVWYPAAIDGKATLIGDNIIFKGAPAVIDATPEKGSFPLLVMSHGSGGRAQGMAWLATELVKAGIIVAAPNHPGTTSGDSTPQDTPKIWQRTGDLSAVIDTMTTDPAWSGIIDKNKISVLGFSLGGAAAMEIAGARANLEAYARYCDTYGKWDCAWYAGGIGYRDDKQIKVDKVDLRSVDKSRFEQSNLDRRIASAIMIDPGLAQAYDAQSLASISIPMSFINLGEVETIPTGVVADKLASITPQGTYVTVAGATHFSFLPECKKGAADRLKSAGEVDPICSDDARRPRADIHADITKLVLKALQSMPKT</t>
        </is>
      </c>
      <c r="AE387" s="5" t="inlineStr">
        <is>
          <t>Brucella anthropi</t>
        </is>
      </c>
      <c r="AF387" s="5" t="n">
        <v>529</v>
      </c>
      <c r="AG387" s="5" t="inlineStr">
        <is>
          <t>supp_unavailable</t>
        </is>
      </c>
      <c r="AH387" s="5" t="inlineStr">
        <is>
          <t>ncbi</t>
        </is>
      </c>
      <c r="AI387" s="5" t="n"/>
      <c r="AJ387" s="5" t="n"/>
      <c r="AK387" s="5" t="n"/>
      <c r="AL387" s="5" t="n">
        <v>1</v>
      </c>
    </row>
    <row r="388" ht="15" customHeight="1" s="12">
      <c r="A388" s="5" t="inlineStr">
        <is>
          <t>both</t>
        </is>
      </c>
      <c r="B388" s="5" t="inlineStr">
        <is>
          <t>MFRTIAKNPVRSLIAAGSLLLSASAFAAGGGGDGGDGGCTSDCGFQRGPDPTVSFLEASSGPYSVRTDNVSSLVGGFGGGTVHYPTGTTGTMAAVVVIPGFVSAESSIEWWGPKLASYGFVVMTIDTNSGFDQPPSRATQINNALDYLLEENDSSSSPYSGMIDPNRLGVIGWSMGGGGTLRVAAEGRIQAAIPLAPWDTSSLRFRNIETPTLIFACESDVIAPVGSHADPFYEAIPDSTDKAFFELNNGSHYCGNGGNSYNNELGRLGVSWMKLHLDQDQRYNQFLCGPDHEDEYRISEYRGTCPY</t>
        </is>
      </c>
      <c r="C388" s="5" t="n">
        <v>61</v>
      </c>
      <c r="D388" s="5" t="inlineStr">
        <is>
          <t>UUT36764.1</t>
        </is>
      </c>
      <c r="E388" s="5" t="n">
        <v>1</v>
      </c>
      <c r="F388" s="5" t="inlineStr">
        <is>
          <t>Ipet</t>
        </is>
      </c>
      <c r="G388" s="5" t="inlineStr">
        <is>
          <t>Alpha/Beta Hydrolase</t>
        </is>
      </c>
      <c r="H388" s="5" t="inlineStr">
        <is>
          <t>3.40.50.1820</t>
        </is>
      </c>
      <c r="I388" s="5" t="inlineStr">
        <is>
          <t>Bacteria</t>
        </is>
      </c>
      <c r="J388" s="5" t="inlineStr">
        <is>
          <t>Caldimonas brevitalea</t>
        </is>
      </c>
      <c r="K388" s="5" t="inlineStr">
        <is>
          <t>PET12; PbCut; SbCut; AAW51_2473</t>
        </is>
      </c>
      <c r="L388" s="5" t="inlineStr">
        <is>
          <t>PET; PBAT</t>
        </is>
      </c>
      <c r="M388" s="5" t="inlineStr">
        <is>
          <t>EC 3.1.1.1</t>
        </is>
      </c>
      <c r="N388" s="5" t="inlineStr">
        <is>
          <t>Meyer Cifuentes, 2022</t>
        </is>
      </c>
      <c r="O388" s="5" t="inlineStr">
        <is>
          <t>OK558825</t>
        </is>
      </c>
      <c r="P388" s="5" t="inlineStr">
        <is>
          <t>UUT36764.1</t>
        </is>
      </c>
      <c r="Q388" s="5" t="inlineStr">
        <is>
          <t>7VMD</t>
        </is>
      </c>
      <c r="R388" s="5" t="inlineStr">
        <is>
          <t>-</t>
        </is>
      </c>
      <c r="S388" s="5" t="inlineStr">
        <is>
          <t>hypothetical protein</t>
        </is>
      </c>
      <c r="T388" s="5" t="inlineStr">
        <is>
          <t>Marinobacter sp.</t>
        </is>
      </c>
      <c r="U388" s="5">
        <f>TRUE()</f>
        <v/>
      </c>
      <c r="V388" s="5">
        <f>TRUE()</f>
        <v/>
      </c>
      <c r="W388" s="5" t="inlineStr">
        <is>
          <t>MFRTIAKNPVRSLIAAGSLLLSASAFAAGGGGDGGDGGCTSDCGFQRGPDPTVSFLEASSGPYSVRTDNVSSLVGGFGGGTVHYPTGTTGTMAAVVVIPGFVSAESSIEWWGPKLASYGFVVMTIDTNSGFDQPPSRATQINNALDYLLEENDSSSSPYSGMIDPNRLGVIGWSMGGGGTLRVAAEGRIQAAIPLAPWDTSSLRFRNIETPTLIFACESDVIAPVGSHADPFYEAIPDSTDKAFFELNNGSHYCGNGGNSYNNELGRLGVSWMKLHLDQDQRYNQFLCGPDHEDEYRISEYRGTCPY</t>
        </is>
      </c>
      <c r="X388" s="5" t="n">
        <v>1</v>
      </c>
      <c r="Y388" s="5" t="inlineStr">
        <is>
          <t>PLE628</t>
        </is>
      </c>
      <c r="Z388" s="5" t="inlineStr">
        <is>
          <t>UUT36764</t>
        </is>
      </c>
      <c r="AA388" s="5" t="inlineStr">
        <is>
          <t>Indirect</t>
        </is>
      </c>
      <c r="AB388" s="5" t="n">
        <v>5</v>
      </c>
      <c r="AC388" s="5" t="inlineStr">
        <is>
          <t>10.1038/s41467-020-19583-2; 10.3389/fbioe.2022.930140</t>
        </is>
      </c>
      <c r="AD388" s="5" t="inlineStr">
        <is>
          <t>MFRTIAKNPVRSLIAAGSLLLSASAFAAGGGGDGGDGGCTSDCGFQRGPDPTVSFLEASSGPYSVRTDNVSSLVGGFGGGTVHYPTGTTGTMAAVVVIPGFVSAESSIEWWGPKLASYGFVVMTIDTNSGFDQPPSRATQINNALDYLLEENDSSSSPYSGMIDPNRLGVIGWSMGGGGTLRVAAEGRIQAAIPLAPWDTSSLRFRNIETPTLIFACESDVIAPVGSHADPFYEAIPDSTDKAFFELNNGSHYCGNGGNSYNNELGRLGVSWMKLHLDQDQRYNQFLCGPDHEDEYRISEYRGTCPY</t>
        </is>
      </c>
      <c r="AE388" s="5" t="inlineStr">
        <is>
          <t>Marinobacter sp.</t>
        </is>
      </c>
      <c r="AF388" s="5" t="n">
        <v>50741</v>
      </c>
      <c r="AG388" s="5" t="inlineStr">
        <is>
          <t>supp_unavailable</t>
        </is>
      </c>
      <c r="AH388" s="5" t="inlineStr">
        <is>
          <t>ncbi</t>
        </is>
      </c>
      <c r="AI388" s="5" t="n"/>
      <c r="AJ388" s="5" t="n"/>
      <c r="AK388" s="5" t="n"/>
      <c r="AL388" s="5" t="n">
        <v>1</v>
      </c>
    </row>
    <row r="389" ht="15" customHeight="1" s="12">
      <c r="A389" s="5" t="inlineStr">
        <is>
          <t>both</t>
        </is>
      </c>
      <c r="B389" s="5" t="inlineStr">
        <is>
          <t>MGDCPATAICRSESPGAYSGNGPYGSRSYTLSRFQTPGGATVYYPANAEPPYAGMVFTPPYTGTQAMFAAWGPFFASHGFVLVTMDTSTTLDSVDQRAAQQKEVLNALKSENTRSGSPLRGKLDTARLGAVGWSMGGGATWINSAEYSGLKTAMSLAGHNLTAVDIDSKGYNTRVPTLLFNGAQDLTYLGGLGQSDGVYNNIPAGIPKVFYEVSSAGHFDWGSPTAANRSVASLALAFHKAYLDGDTRWLQYITRPSSDVTTWRTANIR</t>
        </is>
      </c>
      <c r="C389" s="5" t="n">
        <v>50</v>
      </c>
      <c r="D389" s="5" t="inlineStr">
        <is>
          <t>RLT92980.1</t>
        </is>
      </c>
      <c r="E389" s="5" t="n">
        <v>1</v>
      </c>
      <c r="F389" s="5" t="inlineStr">
        <is>
          <t>Ipet</t>
        </is>
      </c>
      <c r="G389" s="5" t="inlineStr">
        <is>
          <t>Alpha/Beta Hydrolase</t>
        </is>
      </c>
      <c r="H389" s="5" t="inlineStr">
        <is>
          <t>3.40.50.1820</t>
        </is>
      </c>
      <c r="I389" s="5" t="inlineStr">
        <is>
          <t>Bacteria</t>
        </is>
      </c>
      <c r="J389" s="5" t="inlineStr">
        <is>
          <t>Ketobacter sp.</t>
        </is>
      </c>
      <c r="K389" s="5" t="inlineStr">
        <is>
          <t>Enzyme 403</t>
        </is>
      </c>
      <c r="L389" s="5" t="inlineStr">
        <is>
          <t>PET</t>
        </is>
      </c>
      <c r="M389" s="5" t="inlineStr">
        <is>
          <t>-</t>
        </is>
      </c>
      <c r="N389" s="5" t="inlineStr">
        <is>
          <t>Erickson, 2022</t>
        </is>
      </c>
      <c r="O389" s="5" t="inlineStr">
        <is>
          <t>RLT92980.1</t>
        </is>
      </c>
      <c r="P389" s="5" t="inlineStr">
        <is>
          <t>RLT92980.1</t>
        </is>
      </c>
      <c r="Q389" s="5" t="inlineStr">
        <is>
          <t>-</t>
        </is>
      </c>
      <c r="R389" s="5" t="inlineStr">
        <is>
          <t>A0A3L8BDT3</t>
        </is>
      </c>
      <c r="S389" s="5" t="inlineStr">
        <is>
          <t>D9N14_19170</t>
        </is>
      </c>
      <c r="T389" s="5" t="inlineStr">
        <is>
          <t>Ketobacter sp.</t>
        </is>
      </c>
      <c r="U389" s="5">
        <f>FALSE()</f>
        <v/>
      </c>
      <c r="V389" s="5">
        <f>TRUE()</f>
        <v/>
      </c>
      <c r="W389" s="5" t="inlineStr">
        <is>
          <t>MGDCPATAICRSESPGAYSGNGPYGSRSYTLSRFQTPGGATVYYPANAEPPYAGMVFTPPYTGTQAMFAAWGPFFASHGFVLVTMDTSTTLDSVDQRAAQQKEVLNALKSENTRSGSPLRGKLDTARLGAVGWSMGGGATWINSAEYSGLKTAMSLAGHNLTAVDIDSKGYNTRVPTLLFNGAQDLTYLGGLGQSDGVYNNIPAGIPKVFYEVSSAGHFDWGSPTAANRSVASLALAFHKAYLDGDTRWLQYITRPSSDVTTWRTANIR</t>
        </is>
      </c>
      <c r="X389" s="5" t="n">
        <v>1</v>
      </c>
      <c r="Y389" s="5" t="n">
        <v>409</v>
      </c>
      <c r="Z389" s="5" t="inlineStr">
        <is>
          <t>RLT92980.1</t>
        </is>
      </c>
      <c r="AA389" s="5" t="inlineStr">
        <is>
          <t>Direct</t>
        </is>
      </c>
      <c r="AB389" s="5" t="n">
        <v>145</v>
      </c>
      <c r="AC389" s="5" t="inlineStr">
        <is>
          <t>10.1038/s41467-022-35237-x</t>
        </is>
      </c>
      <c r="AD389" s="5" t="inlineStr">
        <is>
          <t>MGDCPATAICRSESPGAYSGNGPYGSRSYTLSRFQTPGGATVYYPANAEPPYAGMVFTPPYTGTQAMFAAWGPFFASHGFVLVTMDTSTTLDSVDQRAAQQKEVLNALKSENTRSGSPLRGKLDTARLGAVGWSMGGGATWINSAEYSGLKTAMSLAGHNLTAVDIDSKGYNTRVPTLLFNGAQDLTYLGGLGQSDGVYNNIPAGIPKVFYEVSSAGHFDWGSPTAANRSVASLALAFHKAYLDGDTRWLQYITRPSSDVTTWRTANIR</t>
        </is>
      </c>
      <c r="AE389" s="5" t="inlineStr">
        <is>
          <t>Ketobacter sp.</t>
        </is>
      </c>
      <c r="AF389" s="5" t="n">
        <v>2083498</v>
      </c>
      <c r="AG389" s="5" t="inlineStr">
        <is>
          <t>supp_unavailable</t>
        </is>
      </c>
      <c r="AH389" s="5" t="inlineStr">
        <is>
          <t>ncbi</t>
        </is>
      </c>
      <c r="AI389" s="5" t="n"/>
      <c r="AJ389" s="5" t="n"/>
      <c r="AK389" s="5" t="n"/>
      <c r="AL389" s="5" t="n">
        <v>1</v>
      </c>
    </row>
    <row r="390" ht="15" customHeight="1" s="12">
      <c r="A390" s="5" t="inlineStr">
        <is>
          <t>both</t>
        </is>
      </c>
      <c r="B390" s="5" t="inlineStr">
        <is>
          <t>MGIKVTTAKAIVMAATLLASTYAFSAPGPSAPCSNCTRGPAPTANALKASTGPFSTARFSVSGFLKGFGDSTVYYPTNTTGKMGAIAVIPGYLSYESSIEWWGPRLASHGFVVMTMNTETIYDQPDSRASQLSEALDYLIAQSKSSSSPLYNKIDSTRLGAIGWSMGGGGSLKLSTQRSINAIIPQAPWYFGSNSFNTIKTPALILACSADTVAPVAAHASPFYNRIPASTPKAFLEIYGGSHFCANSGYPNEDLLGMYGIAWMKRFIDFDSRYSQFLCGPNHEGDLAISEYRENCPY</t>
        </is>
      </c>
      <c r="C390" s="5" t="n">
        <v>59</v>
      </c>
      <c r="D390" s="5" t="inlineStr">
        <is>
          <t>SUD16364.1</t>
        </is>
      </c>
      <c r="E390" s="5" t="n">
        <v>1</v>
      </c>
      <c r="F390" s="5" t="inlineStr">
        <is>
          <t>Ipet</t>
        </is>
      </c>
      <c r="G390" s="5" t="inlineStr">
        <is>
          <t>Alpha/Beta Hydrolase</t>
        </is>
      </c>
      <c r="H390" s="5" t="inlineStr">
        <is>
          <t>3.40.50.1820</t>
        </is>
      </c>
      <c r="I390" s="5" t="inlineStr">
        <is>
          <t>Bacteria</t>
        </is>
      </c>
      <c r="J390" s="5" t="inlineStr">
        <is>
          <t>Halopseudomonas bauzanensis</t>
        </is>
      </c>
      <c r="K390" s="5" t="inlineStr">
        <is>
          <t>PbauzCut</t>
        </is>
      </c>
      <c r="L390" s="5" t="inlineStr">
        <is>
          <t>PET</t>
        </is>
      </c>
      <c r="M390" s="5" t="inlineStr">
        <is>
          <t>EC 3.1.1.1</t>
        </is>
      </c>
      <c r="N390" s="5" t="inlineStr">
        <is>
          <t>Avilan, 2023</t>
        </is>
      </c>
      <c r="O390" s="5" t="inlineStr">
        <is>
          <t>SUD16364.1</t>
        </is>
      </c>
      <c r="P390" s="5" t="inlineStr">
        <is>
          <t>SUD16364.1</t>
        </is>
      </c>
      <c r="Q390" s="5" t="inlineStr">
        <is>
          <t>-</t>
        </is>
      </c>
      <c r="R390" s="5" t="inlineStr">
        <is>
          <t>-</t>
        </is>
      </c>
      <c r="S390" s="5" t="inlineStr">
        <is>
          <t>Lipase 1</t>
        </is>
      </c>
      <c r="T390" s="5" t="inlineStr">
        <is>
          <t>Aquipseudomonas alcaligenes</t>
        </is>
      </c>
      <c r="U390" s="5">
        <f>FALSE()</f>
        <v/>
      </c>
      <c r="V390" s="5">
        <f>TRUE()</f>
        <v/>
      </c>
      <c r="W390" s="5" t="inlineStr">
        <is>
          <t>MGIKVTTAKAIVMAATLLASTYAFSAPGPSAPCSNCTRGPAPTANALKASTGPFSTARFSVSGFLKGFGDSTVYYPTNTTGKMGAIAVIPGYLSYESSIEWWGPRLASHGFVVMTMNTETIYDQPDSRASQLSEALDYLIAQSKSSSSPLYNKIDSTRLGAIGWSMGGGGSLKLSTQRSINAIIPQAPWYFGSNSFNTIKTPALILACSADTVAPVAAHASPFYNRIPASTPKAFLEIYGGSHFCANSGYPNEDLLGMYGIAWMKRFIDFDSRYSQFLCGPNHEGDLAISEYRENCPY</t>
        </is>
      </c>
      <c r="X390" s="5" t="n">
        <v>1</v>
      </c>
      <c r="Y390" s="5" t="inlineStr">
        <is>
          <t>PaCut</t>
        </is>
      </c>
      <c r="Z390" s="5" t="inlineStr">
        <is>
          <t>SUD16364</t>
        </is>
      </c>
      <c r="AA390" s="5" t="inlineStr">
        <is>
          <t>Direct</t>
        </is>
      </c>
      <c r="AB390" s="5" t="n">
        <v>201</v>
      </c>
      <c r="AC390" s="5" t="inlineStr">
        <is>
          <t>10.1002/cssc.202202277</t>
        </is>
      </c>
      <c r="AD390" s="5" t="inlineStr">
        <is>
          <t>MGIKVTTAKAIVMAATLLASTYAFSAPGPSAPCSNCTRGPAPTANALKASTGPFSTARFSVSGFLKGFGDSTVYYPTNTTGKMGAIAVIPGYLSYESSIEWWGPRLASHGFVVMTMNTETIYDQPDSRASQLSEALDYLIAQSKSSSSPLYNKIDSTRLGAIGWSMGGGGSLKLSTQRSINAIIPQAPWYFGSNSFNTIKTPALILACSADTVAPVAAHASPFYNRIPASTPKAFLEIYGGSHFCANSGYPNEDLLGMYGIAWMKRFIDFDSRYSQFLCGPNHEGDLAISEYRENCPY</t>
        </is>
      </c>
      <c r="AE390" s="5" t="inlineStr">
        <is>
          <t>Aquipseudomonas alcaligenes</t>
        </is>
      </c>
      <c r="AF390" s="5" t="n">
        <v>43263</v>
      </c>
      <c r="AG390" s="5" t="inlineStr">
        <is>
          <t>supp_unavailable</t>
        </is>
      </c>
      <c r="AH390" s="5" t="inlineStr">
        <is>
          <t>ncbi</t>
        </is>
      </c>
      <c r="AI390" s="5" t="n"/>
      <c r="AJ390" s="5" t="n"/>
      <c r="AK390" s="5" t="n"/>
      <c r="AL390" s="5" t="n">
        <v>1</v>
      </c>
    </row>
    <row r="391" ht="15" customHeight="1" s="12">
      <c r="A391" s="5" t="inlineStr">
        <is>
          <t>both</t>
        </is>
      </c>
      <c r="B391" s="5" t="inlineStr">
        <is>
          <t>MGLAIAAAAVFSLPGVATATEPTGGVQPNIVGGGNATQVYSFMVSQQSSSGGHQCGGSLISSTWVVTAKHCGTPYQVRVGTTNRTSGGTVARVAQRIAHPSADLALLRLSTAVPQAPVTIADASGAVGTATRIIGWGQTCAPQGGCGAPITLQELNTSIVSDSRCLGISGASEICTNNPNGNSGACYGDSGGPQIKQVNGVWQLIGATSRAGNNSSTCATGPSIYVDVPYFRSWIRTNTGV</t>
        </is>
      </c>
      <c r="C391" s="5" t="n">
        <v>198</v>
      </c>
      <c r="D391" s="5" t="inlineStr">
        <is>
          <t>ABY53108.1</t>
        </is>
      </c>
      <c r="E391" s="5" t="n">
        <v>11</v>
      </c>
      <c r="F391" s="5" t="inlineStr">
        <is>
          <t>AtryA</t>
        </is>
      </c>
      <c r="G391" s="5" t="inlineStr">
        <is>
          <t>Trypsin-like</t>
        </is>
      </c>
      <c r="H391" s="5" t="inlineStr">
        <is>
          <t>2.40.10.10</t>
        </is>
      </c>
      <c r="I391" s="5" t="inlineStr">
        <is>
          <t>Bacteria</t>
        </is>
      </c>
      <c r="J391" s="5" t="inlineStr">
        <is>
          <t>Amycolatopsis (Nocardia) orientalis</t>
        </is>
      </c>
      <c r="K391" s="5" t="inlineStr">
        <is>
          <t>PLase2</t>
        </is>
      </c>
      <c r="L391" s="5" t="inlineStr">
        <is>
          <t>PLA</t>
        </is>
      </c>
      <c r="M391" s="5" t="inlineStr">
        <is>
          <t>EC 3.4.-</t>
        </is>
      </c>
      <c r="N391" s="5" t="inlineStr">
        <is>
          <t>Fan, 2008</t>
        </is>
      </c>
      <c r="O391" s="5" t="inlineStr">
        <is>
          <t>B0FLR6</t>
        </is>
      </c>
      <c r="P391" s="5" t="inlineStr">
        <is>
          <t>ABY53108.1</t>
        </is>
      </c>
      <c r="Q391" s="5" t="inlineStr">
        <is>
          <t>-</t>
        </is>
      </c>
      <c r="R391" s="5" t="inlineStr">
        <is>
          <t>B0FLR6</t>
        </is>
      </c>
      <c r="S391" s="5" t="inlineStr">
        <is>
          <t>PLAase2</t>
        </is>
      </c>
      <c r="T391" s="5" t="inlineStr">
        <is>
          <t>Amycolatopsis orientalis</t>
        </is>
      </c>
      <c r="U391" s="5">
        <f>FALSE()</f>
        <v/>
      </c>
      <c r="V391" s="5">
        <f>TRUE()</f>
        <v/>
      </c>
      <c r="W391" s="5" t="inlineStr">
        <is>
          <t>MGLAIAAAAVFSLPGVATATEPTGGVQPNIVGGGNATQVYSFMVSQQSSSGGHQCGGSLISSTWVVTAKHCGTPYQVRVGTTNRTSGGTVARVAQRIAHPSADLALLRLSTAVPQAPVTIADASGAVGTATRIIGWGQTCAPQGGCGAPITLQELNTSIVSDSRCLGISGASEICTNNPNGNSGACYGDSGGPQIKQVNGVWQLIGATSRAGNNSSTCATGPSIYVDVPYFRSWIRTNTGV</t>
        </is>
      </c>
      <c r="X391" s="5" t="n">
        <v>1</v>
      </c>
      <c r="Y391" s="5" t="inlineStr">
        <is>
          <t>PLAase II</t>
        </is>
      </c>
      <c r="Z391" s="5" t="inlineStr">
        <is>
          <t>ABY53108.1</t>
        </is>
      </c>
      <c r="AA391" s="5" t="inlineStr">
        <is>
          <t>Direct</t>
        </is>
      </c>
      <c r="AB391" s="5" t="n">
        <v>69</v>
      </c>
      <c r="AC391" s="5" t="inlineStr">
        <is>
          <t>10.1111/j.1574-6968.2008.01109.x</t>
        </is>
      </c>
      <c r="AD391" s="5" t="inlineStr">
        <is>
          <t>MGLAIAAAAVFSLPGVATATEPTGGVQPNIVGGGNATQVYSFMVSQQSSSGGHQCGGSLISSTWVVTAKHCGTPYQVRVGTTNRTSGGTVARVAQRIAHPSADLALLRLSTAVPQAPVTIADASGAVGTATRIIGWGQTCAPQGGCGAPITLQELNTSIVSDSRCLGISGASEICTNNPNGNSGACYGDSGGPQIKQVNGVWQLIGATSRAGNNSSTCATGPSIYVDVPYFRSWIRTNTGV</t>
        </is>
      </c>
      <c r="AE391" s="5" t="inlineStr">
        <is>
          <t>Amycolatopsis orientalis</t>
        </is>
      </c>
      <c r="AF391" s="5" t="n">
        <v>31958</v>
      </c>
      <c r="AG391" s="5" t="inlineStr">
        <is>
          <t>supp_unavailable</t>
        </is>
      </c>
      <c r="AH391" s="5" t="inlineStr">
        <is>
          <t>ncbi</t>
        </is>
      </c>
      <c r="AI391" s="5" t="n"/>
      <c r="AJ391" s="5" t="n"/>
      <c r="AK391" s="5" t="n"/>
      <c r="AL391" s="5" t="n">
        <v>1</v>
      </c>
    </row>
    <row r="392" ht="15" customHeight="1" s="12">
      <c r="A392" s="5" t="inlineStr">
        <is>
          <t>both</t>
        </is>
      </c>
      <c r="B392" s="5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C392" s="5" t="n">
        <v>161</v>
      </c>
      <c r="D392" s="5" t="inlineStr">
        <is>
          <t>AAD22743.1</t>
        </is>
      </c>
      <c r="E392" s="5" t="n">
        <v>4</v>
      </c>
      <c r="F392" s="5" t="inlineStr">
        <is>
          <t>Pue</t>
        </is>
      </c>
      <c r="G392" s="5" t="inlineStr">
        <is>
          <t>Alpha/Beta Hydrolase</t>
        </is>
      </c>
      <c r="H392" s="5" t="inlineStr">
        <is>
          <t>3.40.50.1820</t>
        </is>
      </c>
      <c r="I392" s="5" t="inlineStr">
        <is>
          <t>Bacteria</t>
        </is>
      </c>
      <c r="J392" s="5" t="inlineStr">
        <is>
          <t>Pseudomonas chloroaphis</t>
        </is>
      </c>
      <c r="K392" s="5" t="inlineStr">
        <is>
          <t>PueA</t>
        </is>
      </c>
      <c r="L392" s="5" t="inlineStr">
        <is>
          <t>PUR</t>
        </is>
      </c>
      <c r="M392" s="5" t="inlineStr">
        <is>
          <t>-</t>
        </is>
      </c>
      <c r="N392" s="5" t="inlineStr">
        <is>
          <t>Howard, 1999; Ruiz, 1999; Howard, 2001; Howard, 2007; Stern, 2000</t>
        </is>
      </c>
      <c r="O392" s="5" t="inlineStr">
        <is>
          <t>AAD22743.1</t>
        </is>
      </c>
      <c r="P392" s="5" t="inlineStr">
        <is>
          <t>AAD22743.1</t>
        </is>
      </c>
      <c r="Q392" s="5" t="inlineStr">
        <is>
          <t>-</t>
        </is>
      </c>
      <c r="R392" s="5" t="inlineStr">
        <is>
          <t>Q9X3C0</t>
        </is>
      </c>
      <c r="S392" s="5" t="inlineStr">
        <is>
          <t>polyurethanase esterase A</t>
        </is>
      </c>
      <c r="T392" s="5" t="inlineStr">
        <is>
          <t>Pseudomonas chlororaphis</t>
        </is>
      </c>
      <c r="U392" s="5">
        <f>FALSE()</f>
        <v/>
      </c>
      <c r="V392" s="5">
        <f>TRUE()</f>
        <v/>
      </c>
      <c r="W392" s="5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X392" s="5" t="n">
        <v>1</v>
      </c>
      <c r="Y392" s="5" t="inlineStr">
        <is>
          <t>LipasePueA</t>
        </is>
      </c>
      <c r="Z392" s="5" t="inlineStr">
        <is>
          <t>AAD22743.1</t>
        </is>
      </c>
      <c r="AA392" s="5" t="inlineStr">
        <is>
          <t>Direct</t>
        </is>
      </c>
      <c r="AB392" s="5" t="n">
        <v>47</v>
      </c>
      <c r="AC392" s="5" t="inlineStr">
        <is>
          <t>10.1016/S0964-8305(98)00057-2; 10.1016/S0964-8305(98)00067-5; 10.1111/j.1574-6968.2000.tb09056.x; 10.1016/S0964-8305(01)00042-7; 10.1111/j.1365-2672.2007.03447.x</t>
        </is>
      </c>
      <c r="AD392" s="5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AE392" s="5" t="inlineStr">
        <is>
          <t>Pseudomonas chlororaphis</t>
        </is>
      </c>
      <c r="AF392" s="5" t="n">
        <v>587753</v>
      </c>
      <c r="AG392" s="5" t="inlineStr">
        <is>
          <t>supp_unavailable</t>
        </is>
      </c>
      <c r="AH392" s="5" t="inlineStr">
        <is>
          <t>ncbi</t>
        </is>
      </c>
      <c r="AI392" s="5" t="n"/>
      <c r="AJ392" s="5" t="n"/>
      <c r="AK392" s="5" t="n"/>
      <c r="AL392" s="5" t="n">
        <v>1</v>
      </c>
    </row>
    <row r="393" ht="15" customHeight="1" s="12">
      <c r="A393" s="5" t="inlineStr">
        <is>
          <t>both</t>
        </is>
      </c>
      <c r="B393" s="5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ASDKVLNIGYENDPVFRVLDGSTFKLSSLGVHDAHQDSATNNIVNFNDHYASTLWNVLPFSILNIPTWLSHLPTGYGDGLT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C393" s="5" t="n">
        <v>164</v>
      </c>
      <c r="D393" s="5" t="inlineStr">
        <is>
          <t>AAY92471.1</t>
        </is>
      </c>
      <c r="E393" s="5" t="n">
        <v>4</v>
      </c>
      <c r="F393" s="5" t="inlineStr">
        <is>
          <t>Pue</t>
        </is>
      </c>
      <c r="G393" s="5" t="inlineStr">
        <is>
          <t>Alpha/Beta Hydrolase</t>
        </is>
      </c>
      <c r="H393" s="5" t="inlineStr">
        <is>
          <t>3.40.50.1820</t>
        </is>
      </c>
      <c r="I393" s="5" t="inlineStr">
        <is>
          <t>Bacteria</t>
        </is>
      </c>
      <c r="J393" s="5" t="inlineStr">
        <is>
          <t>Pseudomonas protegens strain Pf-5</t>
        </is>
      </c>
      <c r="K393" s="5" t="inlineStr">
        <is>
          <t>PueA</t>
        </is>
      </c>
      <c r="L393" s="5" t="inlineStr">
        <is>
          <t>PUR</t>
        </is>
      </c>
      <c r="M393" s="5" t="inlineStr">
        <is>
          <t>-</t>
        </is>
      </c>
      <c r="N393" s="5" t="inlineStr">
        <is>
          <t>Hung, 2016</t>
        </is>
      </c>
      <c r="O393" s="5" t="inlineStr">
        <is>
          <t>AAY92471.1</t>
        </is>
      </c>
      <c r="P393" s="5" t="inlineStr">
        <is>
          <t>AAY92471.1</t>
        </is>
      </c>
      <c r="Q393" s="5" t="inlineStr">
        <is>
          <t>-</t>
        </is>
      </c>
      <c r="R393" s="5" t="inlineStr">
        <is>
          <t>Q4KBS6</t>
        </is>
      </c>
      <c r="S393" s="5" t="inlineStr">
        <is>
          <t>polyurethanase A</t>
        </is>
      </c>
      <c r="T393" s="5" t="inlineStr">
        <is>
          <t>Pseudomonas protegens Pf-5</t>
        </is>
      </c>
      <c r="U393" s="5">
        <f>FALSE()</f>
        <v/>
      </c>
      <c r="V393" s="5">
        <f>TRUE()</f>
        <v/>
      </c>
      <c r="W393" s="5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ASDKVLNIGYENDPVFRVLDGSTFKLSSLGVHDAHQDSATNNIVNFNDHYASTLWNVLPFSILNIPTWLSHLPTGYGDGLT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X393" s="5" t="n">
        <v>1</v>
      </c>
      <c r="Y393" s="5" t="inlineStr">
        <is>
          <t>PueA</t>
        </is>
      </c>
      <c r="Z393" s="5" t="inlineStr">
        <is>
          <t>WP_011061486.1</t>
        </is>
      </c>
      <c r="AA393" s="5" t="inlineStr">
        <is>
          <t>Direct</t>
        </is>
      </c>
      <c r="AB393" s="5" t="n">
        <v>50</v>
      </c>
      <c r="AC393" s="5" t="inlineStr">
        <is>
          <t>10.1128/AEM.01448-16</t>
        </is>
      </c>
      <c r="AD393" s="5" t="inlineStr">
        <is>
          <t>MGVFDYKNFTASDSKALFSDALAITLYSYHNIDNGFAEGYQHNGFGLGLPATLVTALIGSGNSQGVIPGIPWNPDSEKAALDALHQAGWSTISAQQLGYDGKVDGRGTFFGEKAGYGTAQVEILGKYDAQGHLESIGIAFRGTSGPRESVISDTIGDVINDLLAALGPKDYAKNYAGEAFGKLLGDVAAFAQANGLSGKDVLVSGHSLGGLGVNSLADLSSERWSGFYKDSNYIAYASPTQSASDKVLNIGYENDPVFRVLDGSTFKLSSLGVHDAHQDSATNNIVNFNDHYASTLWNVLPFSILNIPTWLSHLPTGYGDGLT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      </is>
      </c>
      <c r="AE393" s="5" t="inlineStr">
        <is>
          <t>Pseudomonas protegens</t>
        </is>
      </c>
      <c r="AF393" s="5" t="n">
        <v>380021</v>
      </c>
      <c r="AG393" s="5" t="inlineStr">
        <is>
          <t>supp_unavailable</t>
        </is>
      </c>
      <c r="AH393" s="5" t="inlineStr">
        <is>
          <t>ncbi</t>
        </is>
      </c>
      <c r="AI393" s="5" t="n"/>
      <c r="AJ393" s="5" t="n"/>
      <c r="AK393" s="5" t="n"/>
      <c r="AL393" s="5" t="n">
        <v>1</v>
      </c>
    </row>
    <row r="394" ht="15" customHeight="1" s="12">
      <c r="A394" s="5" t="inlineStr">
        <is>
          <t>both</t>
        </is>
      </c>
      <c r="B394" s="5" t="inlineStr">
        <is>
          <t>MGYITVGNENSTPIELYYEDQGSGQPVVLIHGYPLNGHSWERQTRELLAQGYRVITYDRRGFGQSSKVGTGYDYDTFAADLNTVLETLDLRDVVLVGFSMGTGELARYVGTYGHDRVAKLAFLASLEPFLVQRDDNPEGVPQEVFDGIEAAAKGDRYAWFTDFYNNFYNLDENLGSRISQQVVDANWNLSVTSAPVAAYAVVPTWIEDFRGDVDAVRDAGKPTLILHGTKDNILPIDATARRFHKAVPVATYVEVEGAPHGLLWTHADEVNAALKTFLKGSLA</t>
        </is>
      </c>
      <c r="C394" s="5" t="n">
        <v>96</v>
      </c>
      <c r="D394" s="5" t="inlineStr">
        <is>
          <t>ACY56506.1</t>
        </is>
      </c>
      <c r="E394" s="5" t="n">
        <v>22</v>
      </c>
      <c r="F394" s="5" t="inlineStr">
        <is>
          <t>Ipet</t>
        </is>
      </c>
      <c r="G394" s="5" t="inlineStr">
        <is>
          <t>Alpha/Beta Hydrolase</t>
        </is>
      </c>
      <c r="H394" s="5" t="inlineStr">
        <is>
          <t>3.40.50.1820</t>
        </is>
      </c>
      <c r="I394" s="5" t="inlineStr">
        <is>
          <t>Bacteria</t>
        </is>
      </c>
      <c r="J394" s="5" t="inlineStr">
        <is>
          <t>Microbacterium hydrocarbonoxydans</t>
        </is>
      </c>
      <c r="K394" s="5" t="inlineStr">
        <is>
          <t>PURase</t>
        </is>
      </c>
      <c r="L394" s="5" t="inlineStr">
        <is>
          <t>PUR</t>
        </is>
      </c>
      <c r="M394" s="5" t="inlineStr">
        <is>
          <t>-</t>
        </is>
      </c>
      <c r="N394" s="5" t="inlineStr">
        <is>
          <t>Kang, 2021;</t>
        </is>
      </c>
      <c r="O394" s="5" t="inlineStr">
        <is>
          <t>GU116480</t>
        </is>
      </c>
      <c r="P394" s="5" t="inlineStr">
        <is>
          <t>GU116480</t>
        </is>
      </c>
      <c r="Q394" s="5" t="inlineStr">
        <is>
          <t>-</t>
        </is>
      </c>
      <c r="R394" s="5" t="inlineStr">
        <is>
          <t>E3SVS0</t>
        </is>
      </c>
      <c r="S394" s="5" t="inlineStr">
        <is>
          <t>gamma-lactamase</t>
        </is>
      </c>
      <c r="T394" s="5" t="inlineStr">
        <is>
          <t>Microbacterium hydrocarbonoxydans</t>
        </is>
      </c>
      <c r="U394" s="5">
        <f>FALSE()</f>
        <v/>
      </c>
      <c r="V394" s="5">
        <f>TRUE()</f>
        <v/>
      </c>
      <c r="W394" s="5" t="inlineStr">
        <is>
          <t>MGYITVGNENSTPIELYYEDQGSGQPVVLIHGYPLNGHSWERQTRELLAQGYRVITYDRRGFGQSSKVGTGYDYDTFAADLNTVLETLDLRDVVLVGFSMGTGELARYVGTYGHDRVAKLAFLASLEPFLVQRDDNPEGVPQEVFDGIEAAAKGDRYAWFTDFYNNFYNLDENLGSRISQQVVDANWNLSVTSAPVAAYAVVPTWIEDFRGDVDAVRDAGKPTLILHGTKDNILPIDATARRFHKAVPVATYVEVEGAPHGLLWTHADEVNAALKTFLKGSLA</t>
        </is>
      </c>
      <c r="X394" s="5" t="n">
        <v>1</v>
      </c>
      <c r="Y394" s="5" t="inlineStr">
        <is>
          <t>Amidase</t>
        </is>
      </c>
      <c r="Z394" s="5" t="inlineStr">
        <is>
          <t>ACY56506.1</t>
        </is>
      </c>
      <c r="AA394" s="5" t="inlineStr">
        <is>
          <t>Indirect</t>
        </is>
      </c>
      <c r="AB394" s="5" t="n">
        <v>165</v>
      </c>
      <c r="AC394" s="5" t="inlineStr">
        <is>
          <t>10.1016/j.jbiosc.2021.05.003</t>
        </is>
      </c>
      <c r="AD394" s="5" t="inlineStr">
        <is>
          <t>MGYITVGNENSTPIELYYEDQGSGQPVVLIHGYPLNGHSWERQTRELLAQGYRVITYDRRGFGQSSKVGTGYDYDTFAADLNTVLETLDLRDVVLVGFSMGTGELARYVGTYGHDRVAKLAFLASLEPFLVQRDDNPEGVPQEVFDGIEAAAKGDRYAWFTDFYNNFYNLDENLGSRISQQVVDANWNLSVTSAPVAAYAVVPTWIEDFRGDVDAVRDAGKPTLILHGTKDNILPIDATARRFHKAVPVATYVEVEGAPHGLLWTHADEVNAALKTFLKGSLA</t>
        </is>
      </c>
      <c r="AE394" s="5" t="inlineStr">
        <is>
          <t>Microbacterium hydrocarbonoxydans</t>
        </is>
      </c>
      <c r="AF394" s="5" t="n">
        <v>273678</v>
      </c>
      <c r="AG394" s="5" t="inlineStr">
        <is>
          <t>supp_unavailable</t>
        </is>
      </c>
      <c r="AH394" s="5" t="inlineStr">
        <is>
          <t>ncbi</t>
        </is>
      </c>
      <c r="AI394" s="5" t="n"/>
      <c r="AJ394" s="5" t="n"/>
      <c r="AK394" s="5" t="n"/>
      <c r="AL394" s="5" t="n">
        <v>1</v>
      </c>
    </row>
    <row r="395" ht="15" customHeight="1" s="12">
      <c r="A395" s="5" t="inlineStr">
        <is>
          <t>both</t>
        </is>
      </c>
      <c r="B395" s="5" t="inlineStr">
        <is>
          <t>MHESVHAESLWLTMDDGAEVYVRVWEPAARAAADSSDDAPAPPAAAGGPRAVLQLAHGMTEHSGRYDDFARFLAGRGFAVVGNDHRGHGHTGERADSMGYLADQDGFERLVDDLRAVHEWACRRWPGAPRFLMGHSMGSFLVRRYIQRYGDTVAGVIIMGTAGNPGLPGKIGRRLARLEMRRRGPRHPSMLLTSLVFGGYNKKIRSPKTAFDWLSRDAEAVKAYVADPWCGFVPSAGFYFDLLTGLLLIHDEREIARIPKDLPMLFLSGDADPVTGYGKGVERVIAQYERHGLRRMTSILYKDARHELLNELNKEEVYGDILKWLENTQAGILRNLSK</t>
        </is>
      </c>
      <c r="C395" s="5" t="n">
        <v>168</v>
      </c>
      <c r="D395" s="5" t="inlineStr">
        <is>
          <t>BAF57214.1</t>
        </is>
      </c>
      <c r="E395" s="5" t="n">
        <v>40</v>
      </c>
      <c r="F395" s="5" t="inlineStr">
        <is>
          <t>PlaM</t>
        </is>
      </c>
      <c r="G395" s="5" t="inlineStr">
        <is>
          <t>Alpha/Beta Hydrolase</t>
        </is>
      </c>
      <c r="H395" s="5" t="inlineStr">
        <is>
          <t>3.40.50.1820</t>
        </is>
      </c>
      <c r="I395" s="5" t="inlineStr">
        <is>
          <t>Metagenome</t>
        </is>
      </c>
      <c r="J395" s="5" t="inlineStr">
        <is>
          <t>Metagenome</t>
        </is>
      </c>
      <c r="K395" s="5" t="inlineStr">
        <is>
          <t>PlaM9 depolymerase</t>
        </is>
      </c>
      <c r="L395" s="5" t="inlineStr">
        <is>
          <t>PLA</t>
        </is>
      </c>
      <c r="M395" s="5" t="inlineStr">
        <is>
          <t>EC 3.1.1.1</t>
        </is>
      </c>
      <c r="N395" s="5" t="inlineStr">
        <is>
          <t>Mayumi, 2008</t>
        </is>
      </c>
      <c r="O395" s="5" t="inlineStr">
        <is>
          <t>AB302140</t>
        </is>
      </c>
      <c r="P395" s="5" t="inlineStr">
        <is>
          <t>BAF57214.1</t>
        </is>
      </c>
      <c r="Q395" s="5" t="inlineStr">
        <is>
          <t>-</t>
        </is>
      </c>
      <c r="R395" s="5" t="inlineStr">
        <is>
          <t>A4UZ14</t>
        </is>
      </c>
      <c r="S395" s="5" t="inlineStr">
        <is>
          <t>PLA depolymerase</t>
        </is>
      </c>
      <c r="T395" s="5" t="inlineStr">
        <is>
          <t>uncultured bacterium</t>
        </is>
      </c>
      <c r="U395" s="5">
        <f>FALSE()</f>
        <v/>
      </c>
      <c r="V395" s="5">
        <f>TRUE()</f>
        <v/>
      </c>
      <c r="W395" s="5" t="inlineStr">
        <is>
          <t>MHESVHAESLWLTMDDGAEVYVRVWEPAARAAADSSDDAPAPPAAAGGPRAVLQLAHGMTEHSGRYDDFARFLAGRGFAVVGNDHRGHGHTGERADSMGYLADQDGFERLVDDLRAVHEWACRRWPGAPRFLMGHSMGSFLVRRYIQRYGDTVAGVIIMGTAGNPGLPGKIGRRLARLEMRRRGPRHPSMLLTSLVFGGYNKKIRSPKTAFDWLSRDAEAVKAYVADPWCGFVPSAGFYFDLLTGLLLIHDEREIARIPKDLPMLFLSGDADPVTGYGKGVERVIAQYERHGLRRMTSILYKDARHELLNELNKEEVYGDILKWLENTQAGILRNLSK</t>
        </is>
      </c>
      <c r="X395" s="5" t="n">
        <v>1</v>
      </c>
      <c r="Y395" s="5" t="inlineStr">
        <is>
          <t>PlaM9</t>
        </is>
      </c>
      <c r="Z395" s="5" t="inlineStr">
        <is>
          <t>BAF57214.1</t>
        </is>
      </c>
      <c r="AA395" s="5" t="inlineStr">
        <is>
          <t>Direct</t>
        </is>
      </c>
      <c r="AB395" s="5" t="n">
        <v>92</v>
      </c>
      <c r="AC395" s="5" t="inlineStr">
        <is>
          <t>10.1007/s00253-008-1477-3</t>
        </is>
      </c>
      <c r="AD395" s="5" t="inlineStr">
        <is>
          <t>MHESVHAESLWLTMDDGAEVYVRVWEPAARAAADSSDDAPAPPAAAGGPRAVLQLAHGMTEHSGRYDDFARFLAGRGFAVVGNDHRGHGHTGERADSMGYLADQDGFERLVDDLRAVHEWACRRWPGAPRFLMGHSMGSFLVRRYIQRYGDTVAGVIIMGTAGNPGLPGKIGRRLARLEMRRRGPRHPSMLLTSLVFGGYNKKIRSPKTAFDWLSRDAEAVKAYVADPWCGFVPSAGFYFDLLTGLLLIHDEREIARIPKDLPMLFLSGDADPVTGYGKGVERVIAQYERHGLRRMTSILYKDARHELLNELNKEEVYGDILKWLENTQAGILRNLSK</t>
        </is>
      </c>
      <c r="AE395" s="5" t="inlineStr">
        <is>
          <t>PLA disk compost metagenome</t>
        </is>
      </c>
      <c r="AF395" s="5" t="n"/>
      <c r="AG395" s="5" t="inlineStr">
        <is>
          <t>supp_unavailable</t>
        </is>
      </c>
      <c r="AH395" s="5" t="inlineStr">
        <is>
          <t>ncbi</t>
        </is>
      </c>
      <c r="AI395" s="5" t="n"/>
      <c r="AJ395" s="5" t="n"/>
      <c r="AK395" s="5" t="n"/>
      <c r="AL395" s="5" t="n">
        <v>1</v>
      </c>
    </row>
    <row r="396" ht="15" customHeight="1" s="12">
      <c r="A396" s="5" t="inlineStr">
        <is>
          <t>both</t>
        </is>
      </c>
      <c r="B396" s="5" t="inlineStr">
        <is>
          <t>MHIHEYTRYDAVGLRNLIKSGEVTAAEVETAAREALAAADERVNGLALPLFTPALGHAEDGPFAGVPFLIKDIGPMAAGVPFFMGSRALGPGVPAAHDSDLMRRFRAAGLVTLGLTTMPELGLCFATEPVRFGPARNPWDLDRGAGGSSGGAAALVAAGAVPLAHASDGAGSIRIPAACCGLVGLKPSRGRLPCGPDLGESALGMADAFALTRTVRDTAHLLDAVQGPGVGEKYTAPPPARPYAEEPTREPRRLRVAITTKPWSDAPVNPEVAAAAEHAARLLQQQGHHVEEASPVVDWDAVIHALVVTQTAFLGAIFQRAPRPPDPALLEGVSRRVLEQAARLSALDLLAAFDAQNRVTRSVAAFFTRYDLLVSPTMAQLPAPHGTIRYDDPSHTLETFVRSMFDYAPFTPPFNVTGQPAISLPLGRSTGGLPIGVQLVAAYGREDLLLGIAGRLEQAAPWRRHADTLFR</t>
        </is>
      </c>
      <c r="C396" s="5" t="n">
        <v>194</v>
      </c>
      <c r="D396" s="5" t="inlineStr">
        <is>
          <t>WP_185053500.1</t>
        </is>
      </c>
      <c r="E396" s="5" t="n">
        <v>10</v>
      </c>
      <c r="F396" s="5" t="inlineStr">
        <is>
          <t>NylA</t>
        </is>
      </c>
      <c r="G396" s="5" t="inlineStr">
        <is>
          <t>Amidase signature</t>
        </is>
      </c>
      <c r="H396" s="5" t="inlineStr">
        <is>
          <t>3.90.1300.10</t>
        </is>
      </c>
      <c r="I396" s="5" t="inlineStr">
        <is>
          <t>Bacteria</t>
        </is>
      </c>
      <c r="J396" s="5" t="inlineStr">
        <is>
          <t>Thermocatellispora tengchongensis</t>
        </is>
      </c>
      <c r="K396" s="5" t="inlineStr">
        <is>
          <t>TtA</t>
        </is>
      </c>
      <c r="L396" s="5" t="inlineStr">
        <is>
          <t>PA</t>
        </is>
      </c>
      <c r="M396" s="5" t="inlineStr">
        <is>
          <t>-</t>
        </is>
      </c>
      <c r="N396" s="5" t="inlineStr">
        <is>
          <t>Bell, 2024</t>
        </is>
      </c>
      <c r="O396" s="5" t="inlineStr">
        <is>
          <t>WP_185053500</t>
        </is>
      </c>
      <c r="P396" s="5" t="inlineStr">
        <is>
          <t>WP_185053500</t>
        </is>
      </c>
      <c r="Q396" s="5" t="inlineStr">
        <is>
          <t>-</t>
        </is>
      </c>
      <c r="R396" s="5" t="inlineStr">
        <is>
          <t>-</t>
        </is>
      </c>
      <c r="S396" s="5" t="inlineStr">
        <is>
          <t>amidase</t>
        </is>
      </c>
      <c r="T396" s="5" t="inlineStr">
        <is>
          <t>Thermocatellispora tengchongensis</t>
        </is>
      </c>
      <c r="U396" s="5">
        <f>FALSE()</f>
        <v/>
      </c>
      <c r="V396" s="5">
        <f>TRUE()</f>
        <v/>
      </c>
      <c r="W396" s="5" t="inlineStr">
        <is>
          <t>MHIHEYTRYDAVGLRNLIKSGEVTAAEVETAAREALAAADERVNGLALPLFTPALGHAEDGPFAGVPFLIKDIGPMAAGVPFFMGSRALGPGVPAAHDSDLMRRFRAAGLVTLGLTTMPELGLCFATEPVRFGPARNPWDLDRGAGGSSGGAAALVAAGAVPLAHASDGAGSIRIPAACCGLVGLKPSRGRLPCGPDLGESALGMADAFALTRTVRDTAHLLDAVQGPGVGEKYTAPPPARPYAEEPTREPRRLRVAITTKPWSDAPVNPEVAAAAEHAARLLQQQGHHVEEASPVVDWDAVIHALVVTQTAFLGAIFQRAPRPPDPALLEGVSRRVLEQAARLSALDLLAAFDAQNRVTRSVAAFFTRYDLLVSPTMAQLPAPHGTIRYDDPSHTLETFVRSMFDYAPFTPPFNVTGQPAISLPLGRSTGGLPIGVQLVAAYGREDLLLGIAGRLEQAAPWRRHADTLFR</t>
        </is>
      </c>
      <c r="X396" s="5" t="n">
        <v>1</v>
      </c>
      <c r="Y396" s="5" t="inlineStr">
        <is>
          <t>TtA</t>
        </is>
      </c>
      <c r="Z396" s="5" t="inlineStr">
        <is>
          <t>WP_185053500</t>
        </is>
      </c>
      <c r="AA396" s="5" t="inlineStr">
        <is>
          <t>Direct</t>
        </is>
      </c>
      <c r="AB396" s="5" t="n">
        <v>217</v>
      </c>
      <c r="AC396" s="5" t="inlineStr">
        <is>
          <t>10.1038/s41467-024-45523-5</t>
        </is>
      </c>
      <c r="AD396" s="5" t="inlineStr">
        <is>
          <t>MHIHEYTRYDAVGLRNLIKSGEVTAAEVETAAREALAAADERVNGLALPLFTPALGHAEDGPFAGVPFLIKDIGPMAAGVPFFMGSRALGPGVPAAHDSDLMRRFRAAGLVTLGLTTMPELGLCFATEPVRFGPARNPWDLDRGAGGSSGGAAALVAAGAVPLAHASDGAGSIRIPAACCGLVGLKPSRGRLPCGPDLGESALGMADAFALTRTVRDTAHLLDAVQGPGVGEKYTAPPPARPYAEEPTREPRRLRVAITTKPWSDAPVNPEVAAAAEHAARLLQQQGHHVEEASPVVDWDAVIHALVVTQTAFLGAIFQRAPRPPDPALLEGVSRRVLEQAARLSALDLLAAFDAQNRVTRSVAAFFTRYDLLVSPTMAQLPAPHGTIRYDDPSHTLETFVRSMFDYAPFTPPFNVTGQPAISLPLGRSTGGLPIGVQLVAAYGREDLLLGIAGRLEQAAPWRRHADTLFR</t>
        </is>
      </c>
      <c r="AE396" s="5" t="inlineStr">
        <is>
          <t>Thermocatellispora tengchongensis</t>
        </is>
      </c>
      <c r="AF396" s="5" t="n">
        <v>1073253</v>
      </c>
      <c r="AG396" s="5" t="inlineStr">
        <is>
          <t>supp_unavailable</t>
        </is>
      </c>
      <c r="AH396" s="5" t="inlineStr">
        <is>
          <t>ncbi</t>
        </is>
      </c>
      <c r="AI396" s="5" t="n"/>
      <c r="AJ396" s="5" t="n"/>
      <c r="AK396" s="5" t="n"/>
      <c r="AL396" s="5" t="n">
        <v>1</v>
      </c>
    </row>
    <row r="397" ht="15" customHeight="1" s="12">
      <c r="A397" s="5" t="inlineStr">
        <is>
          <t>both</t>
        </is>
      </c>
      <c r="B397" s="5" t="inlineStr">
        <is>
          <t>MHLPRSRWDIPFKEETTMTHHFSVRALLAAGALLASAAVSAQTNPYERGPAPTTSSLEASRGPFSYQSFTVSRPSGYRAGTVYYPTNAGGPVGAIAIVPGFTARQSSINWWGPRLASHGFVVITIDTNSTLDQPDSRSRQQMAALSQVATLSRTSSSPIYNKVDTSRLGVMGWSMGGGGSLISARNNPSIKAAAPQAPWSASKNFSSLTVPTLIIACENDTIAPVNQHADTFYDSMSRNPREFLEINNGSHSCANSGNSNQALLGKKGVAWMKRFMDNDRRYTSFACSNPNSYNVSDFRVAACN</t>
        </is>
      </c>
      <c r="C397" s="5" t="inlineStr">
        <is>
          <t>21;47</t>
        </is>
      </c>
      <c r="D397" s="5" t="inlineStr">
        <is>
          <t>BAB86909.1;Q8RR62</t>
        </is>
      </c>
      <c r="E397" s="5" t="n">
        <v>1</v>
      </c>
      <c r="F397" s="5" t="inlineStr">
        <is>
          <t>Ipet</t>
        </is>
      </c>
      <c r="G397" s="5" t="inlineStr">
        <is>
          <t>Alpha/Beta Hydrolase</t>
        </is>
      </c>
      <c r="H397" s="5" t="inlineStr">
        <is>
          <t>3.40.50.1820</t>
        </is>
      </c>
      <c r="I397" s="5" t="inlineStr">
        <is>
          <t>Bacteria</t>
        </is>
      </c>
      <c r="J397" s="5" t="inlineStr">
        <is>
          <t>Acidovorax delafieldii Strain BS-3;Caldimonas taiwanensis+D57</t>
        </is>
      </c>
      <c r="K397" s="5" t="inlineStr">
        <is>
          <t>PbsA;CtPL; Enzyme 504</t>
        </is>
      </c>
      <c r="L397" s="5" t="inlineStr">
        <is>
          <t>PBS;PET</t>
        </is>
      </c>
      <c r="M397" s="5" t="inlineStr">
        <is>
          <t>-;EC 3.1.1.1</t>
        </is>
      </c>
      <c r="N397" s="5" t="inlineStr">
        <is>
          <t>Uchida, 2001;Avilan, 2023</t>
        </is>
      </c>
      <c r="O397" s="5" t="inlineStr">
        <is>
          <t>BAB86909;Q8RR62</t>
        </is>
      </c>
      <c r="P397" s="5" t="inlineStr">
        <is>
          <t>BAB86909.1;-</t>
        </is>
      </c>
      <c r="Q397" s="5" t="inlineStr">
        <is>
          <t>-</t>
        </is>
      </c>
      <c r="R397" s="5" t="inlineStr">
        <is>
          <t>Q8RR62</t>
        </is>
      </c>
      <c r="S397" s="5" t="inlineStr">
        <is>
          <t>PBS(A) depolymerase</t>
        </is>
      </c>
      <c r="T397" s="5" t="inlineStr">
        <is>
          <t>Acidovorax delafieldii</t>
        </is>
      </c>
      <c r="U397" s="5">
        <f>FALSE()</f>
        <v/>
      </c>
      <c r="V397" s="5">
        <f>TRUE()</f>
        <v/>
      </c>
      <c r="W397" s="5" t="inlineStr">
        <is>
          <t>MHLPRSRWDIPFKEETTMTHHFSVRALLAAGALLASAAVSAQTNPYERGPAPTTSSLEASRGPFSYQSFTVSRPSGYRAGTVYYPTNAGGPVGAIAIVPGFTARQSSINWWGPRLASHGFVVITIDTNSTLDQPDSRSRQQMAALSQVATLSRTSSSPIYNKVDTSRLGVMGWSMGGGGSLISARNNPSIKAAAPQAPWSASKNFSSLTVPTLIIACENDTIAPVNQHADTFYDSMSRNPREFLEINNGSHSCANSGNSNQALLGKKGVAWMKRFMDNDRRYTSFACSNPNSYNVSDFRVAACN</t>
        </is>
      </c>
      <c r="X397" s="5" t="n">
        <v>2</v>
      </c>
      <c r="Y397" s="5" t="inlineStr">
        <is>
          <t>AdCut;PbsA</t>
        </is>
      </c>
      <c r="Z397" s="5" t="inlineStr">
        <is>
          <t>BAB86909</t>
        </is>
      </c>
      <c r="AA397" s="5" t="inlineStr">
        <is>
          <t>Direct</t>
        </is>
      </c>
      <c r="AB397" s="5" t="inlineStr">
        <is>
          <t>181;197</t>
        </is>
      </c>
      <c r="AC397" s="5" t="inlineStr">
        <is>
          <t>10.1002/cssc.202202277;10.1016/S1389-1723(02)80022-6</t>
        </is>
      </c>
      <c r="AD397" s="5" t="inlineStr">
        <is>
          <t>MHLPRSRWDIPFKEETTMTHHFSVRALLAAGALLASAAVSAQTNPYERGPAPTTSSLEASRGPFSYQSFTVSRPSGYRAGTVYYPTNAGGPVGAIAIVPGFTARQSSINWWGPRLASHGFVVITIDTNSTLDQPDSRSRQQMAALSQVATLSRTSSSPIYNKVDTSRLGVMGWSMGGGGSLISARNNPSIKAAAPQAPWSASKNFSSLTVPTLIIACENDTIAPVNQHADTFYDSMSRNPREFLEINNGSHSCANSGNSNQALLGKKGVAWMKRFMDNDRRYTSFACSNPNSYNVSDFRVAACN</t>
        </is>
      </c>
      <c r="AE397" s="5" t="inlineStr">
        <is>
          <t>Acidovorax delafieldii</t>
        </is>
      </c>
      <c r="AF397" s="5" t="n">
        <v>47920</v>
      </c>
      <c r="AG397" s="5" t="inlineStr">
        <is>
          <t>supp_unavailable</t>
        </is>
      </c>
      <c r="AH397" s="5" t="inlineStr">
        <is>
          <t>ncbi</t>
        </is>
      </c>
      <c r="AI397" s="5" t="n"/>
      <c r="AJ397" s="5" t="n"/>
      <c r="AK397" s="5" t="n"/>
      <c r="AL397" s="5" t="n">
        <v>2</v>
      </c>
    </row>
    <row r="398" ht="15" customHeight="1" s="12">
      <c r="A398" s="5" t="inlineStr">
        <is>
          <t>both</t>
        </is>
      </c>
      <c r="B398" s="5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  <c r="C398" s="5" t="n">
        <v>150</v>
      </c>
      <c r="D398" s="5" t="inlineStr">
        <is>
          <t>P52956.1</t>
        </is>
      </c>
      <c r="E398" s="5" t="n">
        <v>2</v>
      </c>
      <c r="F398" s="5" t="inlineStr">
        <is>
          <t>Cut</t>
        </is>
      </c>
      <c r="G398" s="5" t="inlineStr">
        <is>
          <t>Alpha/Beta Hydrolase</t>
        </is>
      </c>
      <c r="H398" s="5" t="inlineStr">
        <is>
          <t>3.40.50.1820</t>
        </is>
      </c>
      <c r="I398" s="5" t="inlineStr">
        <is>
          <t>Eukaryota</t>
        </is>
      </c>
      <c r="J398" s="5" t="inlineStr">
        <is>
          <t>Aspergillus oryzae ATCC42149</t>
        </is>
      </c>
      <c r="K398" s="5" t="inlineStr">
        <is>
          <t>CutL1</t>
        </is>
      </c>
      <c r="L398" s="5" t="inlineStr">
        <is>
          <t>PLA; PBS</t>
        </is>
      </c>
      <c r="M398" s="5" t="inlineStr">
        <is>
          <t>EC:3.1.1.74</t>
        </is>
      </c>
      <c r="N398" s="5" t="inlineStr">
        <is>
          <t>Maeda, 2005, Oda, 2000</t>
        </is>
      </c>
      <c r="O398" s="5" t="inlineStr">
        <is>
          <t>P52956</t>
        </is>
      </c>
      <c r="P398" s="5" t="inlineStr">
        <is>
          <t>P52956.1</t>
        </is>
      </c>
      <c r="Q398" s="5" t="inlineStr">
        <is>
          <t>-</t>
        </is>
      </c>
      <c r="R398" s="5" t="inlineStr">
        <is>
          <t>P52956</t>
        </is>
      </c>
      <c r="S398" s="5" t="inlineStr">
        <is>
          <t>Cutin hydrolase 1</t>
        </is>
      </c>
      <c r="T398" s="5" t="inlineStr">
        <is>
          <t>-</t>
        </is>
      </c>
      <c r="U398" s="5">
        <f>FALSE()</f>
        <v/>
      </c>
      <c r="V398" s="5">
        <f>TRUE()</f>
        <v/>
      </c>
      <c r="W398" s="5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  <c r="X398" s="5" t="n">
        <v>1</v>
      </c>
      <c r="Y398" s="5" t="inlineStr">
        <is>
          <t>CutL1</t>
        </is>
      </c>
      <c r="Z398" s="5" t="inlineStr">
        <is>
          <t>XP_001817153.1</t>
        </is>
      </c>
      <c r="AA398" s="5" t="inlineStr">
        <is>
          <t>Direct</t>
        </is>
      </c>
      <c r="AB398" s="5" t="n">
        <v>94</v>
      </c>
      <c r="AC398" s="5" t="inlineStr">
        <is>
          <t>10.1023/A:1010120128048; 10.1007/s00253-004-1853-6</t>
        </is>
      </c>
      <c r="AD398" s="5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  <c r="AE398" s="5" t="inlineStr">
        <is>
          <t>Aspergillus oryzae</t>
        </is>
      </c>
      <c r="AF398" s="5" t="n">
        <v>5062</v>
      </c>
      <c r="AG398" s="5" t="inlineStr">
        <is>
          <t>supp_unavailable</t>
        </is>
      </c>
      <c r="AH398" s="5" t="inlineStr">
        <is>
          <t>ncbi</t>
        </is>
      </c>
      <c r="AI398" s="5" t="n"/>
      <c r="AJ398" s="5" t="n"/>
      <c r="AK398" s="5" t="n"/>
      <c r="AL398" s="5" t="n">
        <v>1</v>
      </c>
    </row>
    <row r="399" ht="15" customHeight="1" s="12">
      <c r="A399" s="5" t="inlineStr">
        <is>
          <t>both</t>
        </is>
      </c>
      <c r="B399" s="5" t="inlineStr">
        <is>
          <t>MHSTQIPPQQKQKRRLRLTVLAAAASMLAAACVSGDDNNNGNGSNPNTKPANIGTVTINSYNGTTDDLLTAGLGKDGLASATAPLPANPTAPTAAELRRYAIHTNYRAIVDTTASGGYGSLYGPNVDAQGNVTGSDGKVAGVEYLAFSDDGSGQQNVTMLVQIPASFNTSKPCMITATSSGSRGVYGAIATGEWGLKRGCAVAYTDKGTGAAPHDLDTDTVPLIDGTRATRAAAGKNAQFAAPAGATSLADFTAANPHRLAFKHAHSQRNPEKDWGKFTLQAVEFAIWAINDRFGAVSANGTRQRTLDKDRIVVIASSVSNGGGAAVAAAEQDAGGLIDGVAVGEPNLNMPPNTGIVVQRGATPVAASGRTLYDYTTTANLLQHCAARATALTQAPFYTNPATATFFANRCQTLAEKGLVSGANTDEQSASALQALHDAGWEAESDDLHPSLAVFDVAAAISVNYANAYAQASVTDRLCGYSFASTLTDLKPAAIAPAALASMFATGNGVPPQPPVQLINDLDPQHGPYLNLASVSPSTLREDLNYDGANCLRSLLAGSDAAARALQAGQALTLRNGNLRGKPAVIVHGRSDGLLPVNHTSRPYLGLNRQQEGVTSKLSYVEVENAQHFDAFIGLVPGYSNRYVPLHVYLNRALDAVYDNLTAGKALPPSQVLRTTPRGGTLNTPAPALLPSNVPPFAASPAAGNAITVNANAVQVPD</t>
        </is>
      </c>
      <c r="C399" s="5" t="n">
        <v>124</v>
      </c>
      <c r="D399" s="5" t="inlineStr">
        <is>
          <t>Q0K9H3.1</t>
        </is>
      </c>
      <c r="E399" s="5" t="n">
        <v>28</v>
      </c>
      <c r="F399" s="5" t="inlineStr">
        <is>
          <t>Ipet</t>
        </is>
      </c>
      <c r="G399" s="5" t="inlineStr">
        <is>
          <t>Alpha/Beta Hydrolase</t>
        </is>
      </c>
      <c r="H399" s="5" t="inlineStr">
        <is>
          <t>3.40.50.1820</t>
        </is>
      </c>
      <c r="I399" s="5" t="inlineStr">
        <is>
          <t>Bacteria</t>
        </is>
      </c>
      <c r="J399" s="5" t="inlineStr">
        <is>
          <t>Cuprivadus necator ATC17699</t>
        </is>
      </c>
      <c r="K399" s="5" t="inlineStr">
        <is>
          <t>PhaY1</t>
        </is>
      </c>
      <c r="L399" s="5" t="inlineStr">
        <is>
          <t>PHA</t>
        </is>
      </c>
      <c r="M399" s="5" t="inlineStr">
        <is>
          <t>-</t>
        </is>
      </c>
      <c r="N399" s="5" t="inlineStr">
        <is>
          <t>Brigham,2012</t>
        </is>
      </c>
      <c r="O399" s="5" t="inlineStr">
        <is>
          <t>Q0K9H3</t>
        </is>
      </c>
      <c r="P399" s="5" t="inlineStr">
        <is>
          <t>Q0K9H3</t>
        </is>
      </c>
      <c r="Q399" s="5" t="inlineStr">
        <is>
          <t>-</t>
        </is>
      </c>
      <c r="R399" s="5" t="inlineStr">
        <is>
          <t>Q0K9H3</t>
        </is>
      </c>
      <c r="S399" s="5" t="inlineStr">
        <is>
          <t>D-(-)-3-hydroxybutyrate oligomer hydrolase</t>
        </is>
      </c>
      <c r="T399" s="5" t="inlineStr">
        <is>
          <t>-</t>
        </is>
      </c>
      <c r="U399" s="5">
        <f>FALSE()</f>
        <v/>
      </c>
      <c r="V399" s="5">
        <f>TRUE()</f>
        <v/>
      </c>
      <c r="W399" s="5" t="inlineStr">
        <is>
          <t>MHSTQIPPQQKQKRRLRLTVLAAAASMLAAACVSGDDNNNGNGSNPNTKPANIGTVTINSYNGTTDDLLTAGLGKDGLASATAPLPANPTAPTAAELRRYAIHTNYRAIVDTTASGGYGSLYGPNVDAQGNVTGSDGKVAGVEYLAFSDDGSGQQNVTMLVQIPASFNTSKPCMITATSSGSRGVYGAIATGEWGLKRGCAVAYTDKGTGAAPHDLDTDTVPLIDGTRATRAAAGKNAQFAAPAGATSLADFTAANPHRLAFKHAHSQRNPEKDWGKFTLQAVEFAIWAINDRFGAVSANGTRQRTLDKDRIVVIASSVSNGGGAAVAAAEQDAGGLIDGVAVGEPNLNMPPNTGIVVQRGATPVAASGRTLYDYTTTANLLQHCAARATALTQAPFYTNPATATFFANRCQTLAEKGLVSGANTDEQSASALQALHDAGWEAESDDLHPSLAVFDVAAAISVNYANAYAQASVTDRLCGYSFASTLTDLKPAAIAPAALASMFATGNGVPPQPPVQLINDLDPQHGPYLNLASVSPSTLREDLNYDGANCLRSLLAGSDAAARALQAGQALTLRNGNLRGKPAVIVHGRSDGLLPVNHTSRPYLGLNRQQEGVTSKLSYVEVENAQHFDAFIGLVPGYSNRYVPLHVYLNRALDAVYDNLTAGKALPPSQVLRTTPRGGTLNTPAPALLPSNVPPFAASPAAGNAITVNANAVQVPD</t>
        </is>
      </c>
      <c r="X399" s="5" t="n">
        <v>1</v>
      </c>
      <c r="Y399" s="5" t="inlineStr">
        <is>
          <t>PhaY1(PhaZ2)</t>
        </is>
      </c>
      <c r="Z399" s="5" t="inlineStr">
        <is>
          <t>WP_011615575.1</t>
        </is>
      </c>
      <c r="AA399" s="5" t="inlineStr">
        <is>
          <t>Direct</t>
        </is>
      </c>
      <c r="AB399" s="5" t="n">
        <v>107</v>
      </c>
      <c r="AC399" s="5" t="inlineStr">
        <is>
          <t>10.1186/2191-0855-2-26</t>
        </is>
      </c>
      <c r="AD399" s="5" t="inlineStr">
        <is>
          <t>MHSTQIPPQQKQKRRLRLTVLAAAASMLAAACVSGDDNNNGNGSNPNTKPANIGTVTINSYNGTTDDLLTAGLGKDGLASATAPLPANPTAPTAAELRRYAIHTNYRAIVDTTASGGYGSLYGPNVDAQGNVTGSDGKVAGVEYLAFSDDGSGQQNVTMLVQIPASFNTSKPCMITATSSGSRGVYGAIATGEWGLKRGCAVAYTDKGTGAAPHDLDTDTVPLIDGTRATRAAAGKNAQFAAPAGATSLADFTAANPHRLAFKHAHSQRNPEKDWGKFTLQAVEFAIWAINDRFGAVSANGTRQRTLDKDRIVVIASSVSNGGGAAVAAAEQDAGGLIDGVAVGEPNLNMPPNTGIVVQRGATPVAASGRTLYDYTTTANLLQHCAARATALTQAPFYTNPATATFFANRCQTLAEKGLVSGANTDEQSASALQALHDAGWEAESDDLHPSLAVFDVAAAISVNYANAYAQASVTDRLCGYSFASTLTDLKPAAIAPAALASMFATGNGVPPQPPVQLINDLDPQHGPYLNLASVSPSTLREDLNYDGANCLRSLLAGSDAAARALQAGQALTLRNGNLRGKPAVIVHGRSDGLLPVNHTSRPYLGLNRQQEGVTSKLSYVEVENAQHFDAFIGLVPGYSNRYVPLHVYLNRALDAVYDNLTAGKALPPSQVLRTTPRGGTLNTPAPALLPSNVPPFAASPAAGNAITVNANAVQVPD</t>
        </is>
      </c>
      <c r="AE399" s="5" t="inlineStr">
        <is>
          <t>Cupriavidus necator</t>
        </is>
      </c>
      <c r="AF399" s="5" t="n">
        <v>106590</v>
      </c>
      <c r="AG399" s="5" t="inlineStr">
        <is>
          <t>supp_unavailable</t>
        </is>
      </c>
      <c r="AH399" s="5" t="inlineStr">
        <is>
          <t>ncbi</t>
        </is>
      </c>
      <c r="AI399" s="5" t="n"/>
      <c r="AJ399" s="5" t="n"/>
      <c r="AK399" s="5" t="n"/>
      <c r="AL399" s="5" t="n">
        <v>1</v>
      </c>
    </row>
    <row r="400" ht="15" customHeight="1" s="12">
      <c r="A400" s="5" t="inlineStr">
        <is>
          <t>both</t>
        </is>
      </c>
      <c r="B400" s="5" t="inlineStr">
        <is>
          <t>MIARRLGLRRAWAALALTPILFIGQGAGGQALPLLDQASIRSPLMVGCNGKPDSTPLPVDPRSLVKQGVNSNPNAALQFNAYFVDLHNPPPPFVNRLPPRPTTCGQFRASATRGRVNLEERQFFQPMALATSYHFIFLQWGYLIRPPDFEEQVSKRYGLYPAPFRNPYPLPGEDPNQTNGGSGQLPLGLIQGKDDNGRWTGLIGASCSACHDSRLGTASEASFKWGLPNSANDAGLLASDMFRTTPITALGNLLPLPWSTGRGSSDAIGLISLLPALFDMETLTLAPSLLEYVADAPHAGMTKAPAWWARAFKTRQFWDGSLSSDNVHSEMAFGVANIFRDANARRGLEDEFEDINNFLISLSPATYPKTINTALAEQGAVIYHERDLWASGANGAIPKPAGNGSCASCHGVYSPRHAADPNYLPDPRLKGVAAVVTPIETIRTDPRRMRLMADERQRRAWNSGWWAYNNLSPSWTGYPSDNIVASELRRVPRAIYNNGGPIYSPLGPNIWEEPTGYIAPPLYGAWATAPYFHNGSVPNLWGVLKPSDRPKLWKRPYTAAGIGGKNAGYDYSFASYDWQKLGWKYTAVACNNSIFTSPFLPCTHNMATIDILYSMWDNVAAQYLNLAYQSPPPITDQQIKSRMVYNSYLYGNDNGGHDFTQSLTDSERWALIEYIKTL</t>
        </is>
      </c>
      <c r="C400" s="5" t="n">
        <v>205</v>
      </c>
      <c r="D400" s="5" t="inlineStr">
        <is>
          <t>Q7X0P3</t>
        </is>
      </c>
      <c r="E400" s="5" t="n">
        <v>15</v>
      </c>
      <c r="F400" s="5" t="inlineStr">
        <is>
          <t>Rox</t>
        </is>
      </c>
      <c r="G400" s="5" t="inlineStr">
        <is>
          <t>cytochrome c-like</t>
        </is>
      </c>
      <c r="H400" s="5" t="n"/>
      <c r="I400" s="5" t="inlineStr">
        <is>
          <t>Bacteria</t>
        </is>
      </c>
      <c r="J400" s="5" t="inlineStr">
        <is>
          <t>Steroidobacter cummioxidans 35Y</t>
        </is>
      </c>
      <c r="K400" s="5" t="inlineStr">
        <is>
          <t>RoxA</t>
        </is>
      </c>
      <c r="L400" s="5" t="inlineStr">
        <is>
          <t>NR</t>
        </is>
      </c>
      <c r="M400" s="5" t="inlineStr">
        <is>
          <t>-</t>
        </is>
      </c>
      <c r="N400" s="5" t="inlineStr">
        <is>
          <t>Tsuchii,1990</t>
        </is>
      </c>
      <c r="O400" s="5" t="inlineStr">
        <is>
          <t>Q7X0P3</t>
        </is>
      </c>
      <c r="P400" s="5" t="inlineStr">
        <is>
          <t>Q7X0P3</t>
        </is>
      </c>
      <c r="Q400" s="5" t="inlineStr">
        <is>
          <t>4B2N</t>
        </is>
      </c>
      <c r="R400" s="5" t="inlineStr">
        <is>
          <t>Q7X0P3</t>
        </is>
      </c>
      <c r="S400" s="5" t="inlineStr">
        <is>
          <t>70kDa</t>
        </is>
      </c>
      <c r="T400" s="5" t="inlineStr">
        <is>
          <t>Xanthomonas sp. 35Y</t>
        </is>
      </c>
      <c r="U400" s="5">
        <f>FALSE()</f>
        <v/>
      </c>
      <c r="V400" s="5">
        <f>TRUE()</f>
        <v/>
      </c>
      <c r="W400" s="5" t="inlineStr">
        <is>
          <t>MIARRLGLRRAWAALALTPILFIGQGAGGQALPLLDQASIRSPLMVGCNGKPDSTPLPVDPRSLVKQGVNSNPNAALQFNAYFVDLHNPPPPFVNRLPPRPTTCGQFRASATRGRVNLEERQFFQPMALATSYHFIFLQWGYLIRPPDFEEQVSKRYGLYPAPFRNPYPLPGEDPNQTNGGSGQLPLGLIQGKDDNGRWTGLIGASCSACHDSRLGTASEASFKWGLPNSANDAGLLASDMFRTTPITALGNLLPLPWSTGRGSSDAIGLISLLPALFDMETLTLAPSLLEYVADAPHAGMTKAPAWWARAFKTRQFWDGSLSSDNVHSEMAFGVANIFRDANARRGLEDEFEDINNFLISLSPATYPKTINTALAEQGAVIYHERDLWASGANGAIPKPAGNGSCASCHGVYSPRHAADPNYLPDPRLKGVAAVVTPIETIRTDPRRMRLMADERQRRAWNSGWWAYNNLSPSWTGYPSDNIVASELRRVPRAIYNNGGPIYSPLGPNIWEEPTGYIAPPLYGAWATAPYFHNGSVPNLWGVLKPSDRPKLWKRPYTAAGIGGKNAGYDYSFASYDWQKLGWKYTAVACNNSIFTSPFLPCTHNMATIDILYSMWDNVAAQYLNLAYQSPPPITDQQIKSRMVYNSYLYGNDNGGHDFTQSLTDSERWALIEYIKTL</t>
        </is>
      </c>
      <c r="X400" s="5" t="n">
        <v>1</v>
      </c>
      <c r="Y400" s="5" t="inlineStr">
        <is>
          <t>RoxA</t>
        </is>
      </c>
      <c r="Z400" s="5" t="inlineStr">
        <is>
          <t>AAP41848.1</t>
        </is>
      </c>
      <c r="AA400" s="5" t="inlineStr">
        <is>
          <t>Direct</t>
        </is>
      </c>
      <c r="AB400" s="5" t="n">
        <v>124</v>
      </c>
      <c r="AC400" s="5" t="inlineStr">
        <is>
          <t>10.1128/aem.56.1.269-274.1990</t>
        </is>
      </c>
      <c r="AD400" s="5" t="inlineStr">
        <is>
          <t>MIARRLGLRRAWAALALTPILFIGQGAGGQALPLLDQASIRSPLMVGCNGKPDSTPLPVDPRSLVKQGVNSNPNAALQFNAYFVDLHNPPPPFVNRLPPRPTTCGQFRASATRGRVNLEERQFFQPMALATSYHFIFLQWGYLIRPPDFEEQVSKRYGLYPAPFRNPYPLPGEDPNQTNGGSGQLPLGLIQGKDDNGRWTGLIGASCSACHDSRLGTASEASFKWGLPNSANDAGLLASDMFRTTPITALGNLLPLPWSTGRGSSDAIGLISLLPALFDMETLTLAPSLLEYVADAPHAGMTKAPAWWARAFKTRQFWDGSLSSDNVHSEMAFGVANIFRDANARRGLEDEFEDINNFLISLSPATYPKTINTALAEQGAVIYHERDLWASGANGAIPKPAGNGSCASCHGVYSPRHAADPNYLPDPRLKGVAAVVTPIETIRTDPRRMRLMADERQRRAWNSGWWAYNNLSPSWTGYPSDNIVASELRRVPRAIYNNGGPIYSPLGPNIWEEPTGYIAPPLYGAWATAPYFHNGSVPNLWGVLKPSDRPKLWKRPYTAAGIGGKNAGYDYSFASYDWQKLGWKYTAVACNNSIFTSPFLPCTHNMATIDILYSMWDNVAAQYLNLAYQSPPPITDQQIKSRMVYNSYLYGNDNGGHDFTQSLTDSERWALIEYIKTL</t>
        </is>
      </c>
      <c r="AE400" s="5" t="inlineStr">
        <is>
          <t>Steroidobacter cummioxidans</t>
        </is>
      </c>
      <c r="AF400" s="5" t="n">
        <v>1803913</v>
      </c>
      <c r="AG400" s="5" t="inlineStr">
        <is>
          <t>supp_unavailable</t>
        </is>
      </c>
      <c r="AH400" s="5" t="inlineStr">
        <is>
          <t>ncbi</t>
        </is>
      </c>
      <c r="AI400" s="5" t="n"/>
      <c r="AJ400" s="5" t="n"/>
      <c r="AK400" s="5" t="n"/>
      <c r="AL400" s="5" t="n">
        <v>1</v>
      </c>
    </row>
    <row r="401" ht="15" customHeight="1" s="12">
      <c r="A401" s="5" t="inlineStr">
        <is>
          <t>both</t>
        </is>
      </c>
      <c r="B401" s="5" t="inlineStr">
        <is>
          <t>MDSVMQTKEMVMKSNVNSYPIVLVHGFMGWGRNEVLGLKYWGGITDYEQELSSYGYTAYTATVGPVSSNWDRACELYAYIKGGTVDYGHAHSTQKGHSRYGRTYPGLYPEWGNLTTEGKVNKIHLVAHSMGGQTVRTLVQLLKEGSEEERNTTPSQLSSLFAGGKSWVHSITTIASPHDGTTLADGINIFGDFAKNLVASLASFTGAGEKLIYDFKLDQWGLNRKSGESLTDYTNRVFNSAIWNSTNDLANWDLSTDGARVLNQWVKAQSDIYYFSYSTCATVPSILTSNELPHVIYMTPLLYPFGRFIGSYTRNEQGRVIIDNSWKPNDGVVNTISQNGPKIWSSDKIVNYNGVPQIGKWNSMPLLDTIDHMDACGIGTNALTLSWYKGLAEKLSQLTISN</t>
        </is>
      </c>
      <c r="C401" s="5" t="n">
        <v>117</v>
      </c>
      <c r="D401" s="5" t="inlineStr">
        <is>
          <t>WP_007937185.1</t>
        </is>
      </c>
      <c r="E401" s="5" t="n">
        <v>25</v>
      </c>
      <c r="F401" s="5" t="inlineStr">
        <is>
          <t>Ipet</t>
        </is>
      </c>
      <c r="G401" s="5" t="inlineStr">
        <is>
          <t>Alpha/Beta Hydrolase</t>
        </is>
      </c>
      <c r="H401" s="5" t="inlineStr">
        <is>
          <t>3.40.50.1820</t>
        </is>
      </c>
      <c r="I401" s="5" t="inlineStr">
        <is>
          <t>Bacteria</t>
        </is>
      </c>
      <c r="J401" s="5" t="inlineStr">
        <is>
          <t>Pelosinus fermentans DSM-17108</t>
        </is>
      </c>
      <c r="K401" s="5" t="inlineStr">
        <is>
          <t>PFL1</t>
        </is>
      </c>
      <c r="L401" s="5" t="inlineStr">
        <is>
          <t>PBAT</t>
        </is>
      </c>
      <c r="M401" s="5" t="inlineStr">
        <is>
          <t>-</t>
        </is>
      </c>
      <c r="N401" s="5" t="inlineStr">
        <is>
          <t>Biundo, 2016</t>
        </is>
      </c>
      <c r="O401" s="5" t="inlineStr">
        <is>
          <t>EIW29778.1</t>
        </is>
      </c>
      <c r="P401" s="5" t="inlineStr">
        <is>
          <t>EIW29778.1</t>
        </is>
      </c>
      <c r="Q401" s="5" t="inlineStr">
        <is>
          <t>-</t>
        </is>
      </c>
      <c r="R401" s="5" t="inlineStr">
        <is>
          <t>I9L7C1</t>
        </is>
      </c>
      <c r="S401" s="5" t="inlineStr">
        <is>
          <t>triacylglycerol lipase</t>
        </is>
      </c>
      <c r="T401" s="5" t="inlineStr">
        <is>
          <t>Pelosinus</t>
        </is>
      </c>
      <c r="U401" s="5">
        <f>FALSE()</f>
        <v/>
      </c>
      <c r="V401" s="5">
        <f>TRUE()</f>
        <v/>
      </c>
      <c r="W401" s="5" t="inlineStr">
        <is>
          <t>MDSVMQTKEMVMKSNVNSYPIVLVHGFMGWGRNEVLGLKYWGGITDYEQELSSYGYTAYTATVGPVSSNWDRACELYAYIKGGTVDYGHAHSTQKGHSRYGRTYPGLYPEWGNLTTEGKVNKIHLVAHSMGGQTVRTLVQLLKEGSEEERNTTPSQLSSLFAGGKSWVHSITTIASPHDGTTLADGINIFGDFAKNLVASLASFTGAGEKLIYDFKLDQWGLNRKSGESLTDYTNRVFNSAIWNSTNDLANWDLSTDGARVLNQWVKAQSDIYYFSYSTCATVPSILTSNELPHVIYMTPLLYPFGRFIGSYTRNEQGRVIIDNSWKPNDGVVNTISQNGPKIWSSDKIVNYNGVPQIGKWNSMPLLDTIDHMDACGIGTNALTLSWYKGLAEKLSQLTISN</t>
        </is>
      </c>
      <c r="X401" s="5" t="n">
        <v>1</v>
      </c>
      <c r="Y401" s="5" t="inlineStr">
        <is>
          <t>PFL1</t>
        </is>
      </c>
      <c r="Z401" s="5" t="inlineStr">
        <is>
          <t>EIW29778.1</t>
        </is>
      </c>
      <c r="AA401" s="5" t="inlineStr">
        <is>
          <t>Direct</t>
        </is>
      </c>
      <c r="AB401" s="5" t="n">
        <v>119</v>
      </c>
      <c r="AC401" s="5" t="inlineStr">
        <is>
          <t>10.1007/s00253-015-7031-1</t>
        </is>
      </c>
      <c r="AD401" s="5" t="inlineStr">
        <is>
          <t>MDSVMQTKEMVMKSNVNSYPIVLVHGFMGWGRNEVLGLKYWGGITDYEQELSSYGYTAYTATVGPVSSNWDRACELYAYIKGGTVDYGHAHSTQKGHSRYGRTYPGLYPEWGNLTTEGKVNKIHLVAHSMGGQTVRTLVQLLKEGSEEERNTTPSQLSSLFAGGKSWVHSITTIASPHDGTTLADGINIFGDFAKNLVASLASFTGAGEKLIYDFKLDQWGLNRKSGESLTDYTNRVFNSAIWNSTNDLANWDLSTDGARVLNQWVKAQSDIYYFSYSTCATVPSILTSNELPHVIYMTPLLYPFGRFIGSYTRNEQGRVIIDNSWKPNDGVVNTISQNGPKIWSSDKIVNYNGVPQIGKWNSMPLLDTIDHMDACGIGTNALTLSWYKGLAEKLSQLTISN</t>
        </is>
      </c>
      <c r="AE401" s="5" t="inlineStr">
        <is>
          <t>Pelosinus fermentans</t>
        </is>
      </c>
      <c r="AF401" s="5" t="n">
        <v>365349</v>
      </c>
      <c r="AG401" s="5" t="inlineStr">
        <is>
          <t>supp_unavailable</t>
        </is>
      </c>
      <c r="AH401" s="5" t="inlineStr">
        <is>
          <t>ncbi</t>
        </is>
      </c>
      <c r="AI401" s="5" t="n"/>
      <c r="AJ401" s="5" t="n"/>
      <c r="AK401" s="5" t="n"/>
      <c r="AL401" s="5" t="n">
        <v>1</v>
      </c>
    </row>
    <row r="402" ht="15" customHeight="1" s="12">
      <c r="A402" s="5" t="inlineStr">
        <is>
          <t>both</t>
        </is>
      </c>
      <c r="B402" s="5" t="inlineStr">
        <is>
          <t>MIIVDKKIVANIPLLEVVQKELLDQAVPTVFFFHGFTSAKEHNLHYAYLMAEKNIRVVLPEADLHGERSRKLSMEEQALYFWKIILKNIKELGELKEAYVRNRRTLENQIGVAGTSMGGITTFGALCKYDWIKAAVSLMGNPAYHHFARYLVNELQSQGYKIPYSEQQLEGEYQKLLPVDLSMNPEKLNNRPLLFWHGKKDPIVPYTYAYDFYQKVKENYSEHPDHIRFILDHHAGHKVSREGLLATVDWFEQFLQ</t>
        </is>
      </c>
      <c r="C402" s="5" t="n">
        <v>136</v>
      </c>
      <c r="D402" s="5" t="inlineStr">
        <is>
          <t>WP_041846030.1</t>
        </is>
      </c>
      <c r="E402" s="5" t="n">
        <v>37</v>
      </c>
      <c r="F402" s="5" t="inlineStr">
        <is>
          <t>Ipet</t>
        </is>
      </c>
      <c r="G402" s="5" t="inlineStr">
        <is>
          <t>Alpha/Beta Hydrolase</t>
        </is>
      </c>
      <c r="H402" s="5" t="inlineStr">
        <is>
          <t>3.40.50.1820</t>
        </is>
      </c>
      <c r="I402" s="5" t="inlineStr">
        <is>
          <t>Bacteria</t>
        </is>
      </c>
      <c r="J402" s="5" t="inlineStr">
        <is>
          <t>Caldibacillus thermoamylovorans</t>
        </is>
      </c>
      <c r="K402" s="5" t="inlineStr">
        <is>
          <t>Est11_32</t>
        </is>
      </c>
      <c r="L402" s="5" t="inlineStr">
        <is>
          <t>PET</t>
        </is>
      </c>
      <c r="M402" s="5" t="inlineStr">
        <is>
          <t>-</t>
        </is>
      </c>
      <c r="N402" s="5" t="inlineStr">
        <is>
          <t>Yan, 2024</t>
        </is>
      </c>
      <c r="O402" s="5" t="inlineStr">
        <is>
          <t>WP_041846030.1</t>
        </is>
      </c>
      <c r="P402" s="5" t="inlineStr">
        <is>
          <t>WP_041846030.1</t>
        </is>
      </c>
      <c r="Q402" s="5" t="inlineStr">
        <is>
          <t>-</t>
        </is>
      </c>
      <c r="R402" s="5" t="inlineStr">
        <is>
          <t>A0A0D0EIL0</t>
        </is>
      </c>
      <c r="S402" s="5" t="inlineStr">
        <is>
          <t>prolyl oligopeptidase family serine peptidase</t>
        </is>
      </c>
      <c r="T402" s="5" t="inlineStr">
        <is>
          <t>Bacillaceae</t>
        </is>
      </c>
      <c r="U402" s="5">
        <f>FALSE()</f>
        <v/>
      </c>
      <c r="V402" s="5">
        <f>TRUE()</f>
        <v/>
      </c>
      <c r="W402" s="5" t="inlineStr">
        <is>
          <t>MIIVDKKIVANIPLLEVVQKELLDQAVPTVFFFHGFTSAKEHNLHYAYLMAEKNIRVVLPEADLHGERSRKLSMEEQALYFWKIILKNIKELGELKEAYVRNRRTLENQIGVAGTSMGGITTFGALCKYDWIKAAVSLMGNPAYHHFARYLVNELQSQGYKIPYSEQQLEGEYQKLLPVDLSMNPEKLNNRPLLFWHGKKDPIVPYTYAYDFYQKVKENYSEHPDHIRFILDHHAGHKVSREGLLATVDWFEQFLQ</t>
        </is>
      </c>
      <c r="X402" s="5" t="n">
        <v>1</v>
      </c>
      <c r="Y402" s="5" t="inlineStr">
        <is>
          <t>Est11_32</t>
        </is>
      </c>
      <c r="Z402" s="5" t="inlineStr">
        <is>
          <t>WP_041846030</t>
        </is>
      </c>
      <c r="AA402" s="5" t="inlineStr">
        <is>
          <t>Direct</t>
        </is>
      </c>
      <c r="AB402" s="5" t="n">
        <v>211</v>
      </c>
      <c r="AC402" s="5" t="inlineStr">
        <is>
          <t>10.1016/j.ijbiomac.2024.129538</t>
        </is>
      </c>
      <c r="AD402" s="5" t="inlineStr">
        <is>
          <t>MIIVDKKIVANIPLLEVVQKELLDQAVPTVFFFHGFTSAKEHNLHYAYLMAEKNIRVVLPEADLHGERSRKLSMEEQALYFWKIILKNIKELGELKEAYVRNRRTLENQIGVAGTSMGGITTFGALCKYDWIKAAVSLMGNPAYHHFARYLVNELQSQGYKIPYSEQQLEGEYQKLLPVDLSMNPEKLNNRPLLFWHGKKDPIVPYTYAYDFYQKVKENYSEHPDHIRFILDHHAGHKVSREGLLATVDWFEQFLQ</t>
        </is>
      </c>
      <c r="AE402" s="5" t="inlineStr">
        <is>
          <t>Caldibacillus thermoamylovorans</t>
        </is>
      </c>
      <c r="AF402" s="5" t="n">
        <v>35841</v>
      </c>
      <c r="AG402" s="5" t="inlineStr">
        <is>
          <t>supp_unavailable</t>
        </is>
      </c>
      <c r="AH402" s="5" t="inlineStr">
        <is>
          <t>ncbi</t>
        </is>
      </c>
      <c r="AI402" s="5" t="n"/>
      <c r="AJ402" s="5" t="n"/>
      <c r="AK402" s="5" t="n"/>
      <c r="AL402" s="5" t="n">
        <v>1</v>
      </c>
    </row>
    <row r="403" ht="15" customHeight="1" s="12">
      <c r="A403" s="5" t="inlineStr">
        <is>
          <t>both</t>
        </is>
      </c>
      <c r="B403" s="5" t="inlineStr">
        <is>
          <t>MDNPYERGPDPTTQSVEAARGPYAVSQITVGGQFGSYSGGTIYYPTSTTDGKFGAVAIAPGFLSFQSSVAWLGPRIASQGFVVMTIDTGTIFDQPAQRGDQLLDALDFLTQRSSVKDRIDPNRLAVAGWSMGGGGSLEAAADRPSLKAAIPMAGWNLNTNWSRLTTPVLVVGVQNDLIAPVAMHSEPFYNSIRSEKAYLELAGGSHFTVTSANTPQAKLMISWLKRFVDNDTRYEQFICPGPSRGFSVSEYRSTCPF</t>
        </is>
      </c>
      <c r="C403" s="5" t="n">
        <v>57</v>
      </c>
      <c r="D403" s="5" t="inlineStr">
        <is>
          <t>SAY37589.1</t>
        </is>
      </c>
      <c r="E403" s="5" t="n">
        <v>1</v>
      </c>
      <c r="F403" s="5" t="inlineStr">
        <is>
          <t>Ipet</t>
        </is>
      </c>
      <c r="G403" s="5" t="inlineStr">
        <is>
          <t>Alpha/Beta Hydrolase</t>
        </is>
      </c>
      <c r="H403" s="5" t="inlineStr">
        <is>
          <t>3.40.50.1820</t>
        </is>
      </c>
      <c r="I403" s="5" t="inlineStr">
        <is>
          <t>Metagenome</t>
        </is>
      </c>
      <c r="J403" s="5" t="inlineStr">
        <is>
          <t>Compost metagenome</t>
        </is>
      </c>
      <c r="K403" s="5" t="inlineStr">
        <is>
          <t>PHL-61</t>
        </is>
      </c>
      <c r="L403" s="5" t="inlineStr">
        <is>
          <t>PET</t>
        </is>
      </c>
      <c r="M403" s="5" t="inlineStr">
        <is>
          <t>-</t>
        </is>
      </c>
      <c r="N403" s="5" t="inlineStr">
        <is>
          <t>Sonnendecker, 2022</t>
        </is>
      </c>
      <c r="O403" s="5" t="inlineStr">
        <is>
          <t>SAY37589.1</t>
        </is>
      </c>
      <c r="P403" s="5" t="inlineStr">
        <is>
          <t>SAY37589.1</t>
        </is>
      </c>
      <c r="Q403" s="5" t="inlineStr">
        <is>
          <t>-</t>
        </is>
      </c>
      <c r="R403" s="5" t="inlineStr">
        <is>
          <t>-</t>
        </is>
      </c>
      <c r="S403" s="5" t="inlineStr">
        <is>
          <t>Hydrolase 6</t>
        </is>
      </c>
      <c r="T403" s="5" t="inlineStr">
        <is>
          <t>compost metagenome</t>
        </is>
      </c>
      <c r="U403" s="5">
        <f>FALSE()</f>
        <v/>
      </c>
      <c r="V403" s="5">
        <f>TRUE()</f>
        <v/>
      </c>
      <c r="W403" s="5" t="inlineStr">
        <is>
          <t>MDNPYERGPDPTTQSVEAARGPYAVSQITVGGQFGSYSGGTIYYPTSTTDGKFGAVAIAPGFLSFQSSVAWLGPRIASQGFVVMTIDTGTIFDQPAQRGDQLLDALDFLTQRSSVKDRIDPNRLAVAGWSMGGGGSLEAAADRPSLKAAIPMAGWNLNTNWSRLTTPVLVVGVQNDLIAPVAMHSEPFYNSIRSEKAYLELAGGSHFTVTSANTPQAKLMISWLKRFVDNDTRYEQFICPGPSRGFSVSEYRSTCPF</t>
        </is>
      </c>
      <c r="X403" s="5" t="n">
        <v>1</v>
      </c>
      <c r="Y403" s="5" t="inlineStr">
        <is>
          <t>PHL-6</t>
        </is>
      </c>
      <c r="Z403" s="5" t="inlineStr">
        <is>
          <t>SAY37589</t>
        </is>
      </c>
      <c r="AA403" s="5" t="inlineStr">
        <is>
          <t>Direct</t>
        </is>
      </c>
      <c r="AB403" s="5" t="n">
        <v>176</v>
      </c>
      <c r="AC403" s="5" t="inlineStr">
        <is>
          <t>10.1002/cssc.202101062</t>
        </is>
      </c>
      <c r="AD403" s="5" t="inlineStr">
        <is>
          <t>MDNPYERGPDPTTQSVEAARGPYAVSQITVGGQFGSYSGGTIYYPTSTTDGKFGAVAIAPGFLSFQSSVAWLGPRIASQGFVVMTIDTGTIFDQPAQRGDQLLDALDFLTQRSSVKDRIDPNRLAVAGWSMGGGGSLEAAADRPSLKAAIPMAGWNLNTNWSRLTTPVLVVGVQNDLIAPVAMHSEPFYNSIRSEKAYLELAGGSHFTVTSANTPQAKLMISWLKRFVDNDTRYEQFICPGPSRGFSVSEYRSTCPF</t>
        </is>
      </c>
      <c r="AE403" s="5" t="inlineStr">
        <is>
          <t>Compost metagenome</t>
        </is>
      </c>
      <c r="AF403" s="5" t="n"/>
      <c r="AG403" s="5" t="inlineStr">
        <is>
          <t>supp_unavailable</t>
        </is>
      </c>
      <c r="AH403" s="5" t="inlineStr">
        <is>
          <t>ncbi</t>
        </is>
      </c>
      <c r="AI403" s="5" t="n"/>
      <c r="AJ403" s="5" t="n"/>
      <c r="AK403" s="5" t="n"/>
      <c r="AL403" s="5" t="n">
        <v>1</v>
      </c>
    </row>
    <row r="404" ht="15" customHeight="1" s="12">
      <c r="A404" s="5" t="inlineStr">
        <is>
          <t>both</t>
        </is>
      </c>
      <c r="B404" s="5" t="inlineStr">
        <is>
      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C404" s="5" t="n">
        <v>33</v>
      </c>
      <c r="D404" s="5" t="inlineStr">
        <is>
          <t>G9BY57.1</t>
        </is>
      </c>
      <c r="E404" s="5" t="n">
        <v>1</v>
      </c>
      <c r="F404" s="5" t="inlineStr">
        <is>
          <t>Ipet</t>
        </is>
      </c>
      <c r="G404" s="5" t="inlineStr">
        <is>
          <t>Alpha/Beta Hydrolase</t>
        </is>
      </c>
      <c r="H404" s="5" t="inlineStr">
        <is>
          <t>3.40.50.1820</t>
        </is>
      </c>
      <c r="I404" s="5" t="inlineStr">
        <is>
          <t>Bacteria</t>
        </is>
      </c>
      <c r="J404" s="5" t="inlineStr">
        <is>
          <t>LCC leaf compost metagenome</t>
        </is>
      </c>
      <c r="K404" s="5" t="inlineStr">
        <is>
          <t>HRB29-GBD22443 like</t>
        </is>
      </c>
      <c r="L404" s="5" t="inlineStr">
        <is>
          <t>PET; PUR</t>
        </is>
      </c>
      <c r="M404" s="5" t="inlineStr">
        <is>
          <t>EC 3.1.1.74</t>
        </is>
      </c>
      <c r="N404" s="5" t="inlineStr">
        <is>
          <t>Sulaiman, 2012; Shirke, 2018; Tournier, 2020; Schmidt, 2017</t>
        </is>
      </c>
      <c r="O404" s="5" t="inlineStr">
        <is>
          <t>G9BY57</t>
        </is>
      </c>
      <c r="P404" s="5" t="inlineStr">
        <is>
          <t>G9BY57.1</t>
        </is>
      </c>
      <c r="Q404" s="5" t="inlineStr">
        <is>
          <t>4EBO</t>
        </is>
      </c>
      <c r="R404" s="5" t="inlineStr">
        <is>
          <t>G9BY57</t>
        </is>
      </c>
      <c r="S404" s="5" t="inlineStr">
        <is>
          <t>Leaf-branch compost cutinase</t>
        </is>
      </c>
      <c r="T404" s="5" t="inlineStr">
        <is>
          <t>-</t>
        </is>
      </c>
      <c r="U404" s="5">
        <f>FALSE()</f>
        <v/>
      </c>
      <c r="V404" s="5">
        <f>TRUE()</f>
        <v/>
      </c>
      <c r="W404" s="5" t="inlineStr">
        <is>
      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X404" s="5" t="n">
        <v>1</v>
      </c>
      <c r="Y404" s="5" t="inlineStr">
        <is>
          <t>LCC</t>
        </is>
      </c>
      <c r="Z404" s="5" t="inlineStr">
        <is>
          <t>AEV21261.1</t>
        </is>
      </c>
      <c r="AA404" s="5" t="inlineStr">
        <is>
          <t>Direct</t>
        </is>
      </c>
      <c r="AB404" s="5" t="n">
        <v>16</v>
      </c>
      <c r="AC404" s="5" t="inlineStr">
        <is>
          <t>10.1128/aem.06725-11; 10.3390/polym9020065; 10.1021/acs.biochem.7b01189; 10.1038/s41586-020-2149-4; 10.1021/acssuschemeng.4c00915; 10.1002/cssc.202500944</t>
        </is>
      </c>
      <c r="AD404" s="5" t="inlineStr">
        <is>
      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  <c r="AE404" s="5" t="n"/>
      <c r="AF404" s="5" t="n"/>
      <c r="AG404" s="5" t="inlineStr">
        <is>
          <t>supp_unavailable</t>
        </is>
      </c>
      <c r="AH404" s="5" t="inlineStr">
        <is>
          <t>ncbi</t>
        </is>
      </c>
      <c r="AI404" s="5" t="n"/>
      <c r="AJ404" s="5" t="n"/>
      <c r="AK404" s="5" t="n"/>
      <c r="AL404" s="5" t="n">
        <v>1</v>
      </c>
    </row>
    <row r="405" ht="15" customHeight="1" s="12">
      <c r="A405" s="5" t="inlineStr">
        <is>
          <t>both</t>
        </is>
      </c>
      <c r="B405" s="5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</t>
        </is>
      </c>
      <c r="C405" s="5" t="n">
        <v>26</v>
      </c>
      <c r="D405" s="5" t="inlineStr">
        <is>
          <t>CBY05530.1</t>
        </is>
      </c>
      <c r="E405" s="5" t="n">
        <v>1</v>
      </c>
      <c r="F405" s="5" t="inlineStr">
        <is>
          <t>Ipet</t>
        </is>
      </c>
      <c r="G405" s="5" t="inlineStr">
        <is>
          <t>Alpha/Beta Hydrolase</t>
        </is>
      </c>
      <c r="H405" s="5" t="inlineStr">
        <is>
          <t>3.40.50.1820</t>
        </is>
      </c>
      <c r="I405" s="5" t="inlineStr">
        <is>
          <t>Bacteria</t>
        </is>
      </c>
      <c r="J405" s="5" t="inlineStr">
        <is>
          <t>Thermobifida fusca</t>
        </is>
      </c>
      <c r="K405" s="5" t="inlineStr">
        <is>
          <t>TfCut_2; Cut-2.kw3</t>
        </is>
      </c>
      <c r="L405" s="5" t="inlineStr">
        <is>
          <t>PET; PUR</t>
        </is>
      </c>
      <c r="M405" s="5" t="inlineStr">
        <is>
          <t>EC 3.1.1.74</t>
        </is>
      </c>
      <c r="N405" s="5" t="inlineStr">
        <is>
          <t>Furukawa, 2019, Roth, 2014; Wei 2016; Schmidt, 2017</t>
        </is>
      </c>
      <c r="O405" s="5" t="inlineStr">
        <is>
          <t>E5BBQ3_THEFU</t>
        </is>
      </c>
      <c r="P405" s="5" t="inlineStr">
        <is>
          <t>CBY05530.1</t>
        </is>
      </c>
      <c r="Q405" s="5" t="inlineStr">
        <is>
          <t>4CG1</t>
        </is>
      </c>
      <c r="R405" s="5" t="inlineStr">
        <is>
          <t>E5BBQ3_THEFU</t>
        </is>
      </c>
      <c r="S405" s="5" t="inlineStr">
        <is>
          <t>cutinase</t>
        </is>
      </c>
      <c r="T405" s="5" t="inlineStr">
        <is>
          <t>Thermobifida fusca</t>
        </is>
      </c>
      <c r="U405" s="5">
        <f>FALSE()</f>
        <v/>
      </c>
      <c r="V405" s="5">
        <f>TRUE()</f>
        <v/>
      </c>
      <c r="W405" s="5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</t>
        </is>
      </c>
      <c r="X405" s="5" t="n">
        <v>1</v>
      </c>
      <c r="Y405" s="5" t="inlineStr">
        <is>
          <t>TfCut_2</t>
        </is>
      </c>
      <c r="Z405" s="5" t="inlineStr">
        <is>
          <t>CBY05530</t>
        </is>
      </c>
      <c r="AA405" s="5" t="inlineStr">
        <is>
          <t>Direct</t>
        </is>
      </c>
      <c r="AB405" s="5" t="n">
        <v>25</v>
      </c>
      <c r="AC405" s="5" t="inlineStr">
        <is>
          <t>10.1007/s00253-014-5672-0; 10.1002/bit.25941; 10.3390/polym9020065; 10.1038/s41598-019-52379-z; 10.1039/D4SU00722K</t>
        </is>
      </c>
      <c r="AD405" s="5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</t>
        </is>
      </c>
      <c r="AE405" s="5" t="inlineStr">
        <is>
          <t>Thermobifida fusca</t>
        </is>
      </c>
      <c r="AF405" s="5" t="n">
        <v>2021</v>
      </c>
      <c r="AG405" s="5" t="inlineStr">
        <is>
          <t>supp_unavailable</t>
        </is>
      </c>
      <c r="AH405" s="5" t="inlineStr">
        <is>
          <t>ncbi</t>
        </is>
      </c>
      <c r="AI405" s="5" t="n"/>
      <c r="AJ405" s="5" t="n"/>
      <c r="AK405" s="5" t="n"/>
      <c r="AL405" s="5" t="n">
        <v>1</v>
      </c>
    </row>
    <row r="406" ht="15" customHeight="1" s="12">
      <c r="A406" s="5" t="inlineStr">
        <is>
          <t>both</t>
        </is>
      </c>
      <c r="B406" s="5" t="inlineStr">
        <is>
          <t>APSPSAPCSNCTRGPNPTEASLKANSGPFSVSRFSVSGFLRGFGSSTVYYPTNTTGKMGAIAVIPGYLSYESSIEWWGPRLASHGFVVMTMNTNTIYDQPDSRANQLSSALDYLISQSNSRTSPLYNKIDSTRLGAIGWSMGGGGSLKLSTQRSINAIIPQAPYYAGFNRFDEIKTPALILACESDVVAPVAIHASPFYNRLPNSTPKAFLEINNGSHFCANSGYPDERLLGMYGIAWMKRFIDFDTRYSQFLCGPNHTADYSISEYRQNCPY</t>
        </is>
      </c>
      <c r="C406" s="5" t="n">
        <v>86</v>
      </c>
      <c r="D406" s="5" t="inlineStr">
        <is>
          <t>jmPE13</t>
        </is>
      </c>
      <c r="E406" s="5" t="n">
        <v>1</v>
      </c>
      <c r="F406" s="5" t="inlineStr">
        <is>
          <t>Ipet</t>
        </is>
      </c>
      <c r="G406" s="5" t="inlineStr">
        <is>
          <t>Alpha/Beta Hydrolase</t>
        </is>
      </c>
      <c r="H406" s="5" t="inlineStr">
        <is>
          <t>3.40.50.1820</t>
        </is>
      </c>
      <c r="I406" s="5" t="inlineStr">
        <is>
          <t>Bacteria</t>
        </is>
      </c>
      <c r="J406" s="5" t="inlineStr">
        <is>
          <t>Pseudomonas sp. JM16B3</t>
        </is>
      </c>
      <c r="K406" s="5" t="inlineStr">
        <is>
          <t>jmPE13</t>
        </is>
      </c>
      <c r="L406" s="5" t="inlineStr">
        <is>
          <t>PET; PBAT</t>
        </is>
      </c>
      <c r="M406" s="5" t="inlineStr">
        <is>
          <t>-</t>
        </is>
      </c>
      <c r="N406" s="5" t="inlineStr">
        <is>
          <t>Zhou, 2024</t>
        </is>
      </c>
      <c r="O406" s="5" t="inlineStr">
        <is>
          <t>-</t>
        </is>
      </c>
      <c r="P406" s="5" t="inlineStr">
        <is>
          <t>-</t>
        </is>
      </c>
      <c r="Q406" s="5" t="inlineStr">
        <is>
          <t>-</t>
        </is>
      </c>
      <c r="R406" s="5" t="inlineStr">
        <is>
          <t>-</t>
        </is>
      </c>
      <c r="S406" s="5" t="n"/>
      <c r="T406" s="5" t="n"/>
      <c r="U406" s="5">
        <f>FALSE()</f>
        <v/>
      </c>
      <c r="V406" s="5">
        <f>TRUE()</f>
        <v/>
      </c>
      <c r="W406" s="5" t="inlineStr">
        <is>
          <t>APSPSAPCSNCTRGPNPTEASLKANSGPFSVSRFSVSGFLRGFGSSTVYYPTNTTGKMGAIAVIPGYLSYESSIEWWGPRLASHGFVVMTMNTNTIYDQPDSRANQLSSALDYLISQSNSRTSPLYNKIDSTRLGAIGWSMGGGGSLKLSTQRSINAIIPQAPYYAGFNRFDEIKTPALILACESDVVAPVAIHASPFYNRLPNSTPKAFLEINNGSHFCANSGYPDERLLGMYGIAWMKRFIDFDTRYSQFLCGPNHTADYSISEYRQNCPY</t>
        </is>
      </c>
      <c r="X406" s="5" t="n">
        <v>1</v>
      </c>
      <c r="Y406" s="5" t="inlineStr">
        <is>
          <t>jmPE13</t>
        </is>
      </c>
      <c r="Z406" s="5" t="n"/>
      <c r="AA406" s="5" t="inlineStr">
        <is>
          <t>Direct</t>
        </is>
      </c>
      <c r="AB406" s="5" t="n">
        <v>227</v>
      </c>
      <c r="AC406" s="5" t="inlineStr">
        <is>
          <t>10.3389/fbioe.2024.1349010</t>
        </is>
      </c>
      <c r="AD406" s="5" t="inlineStr">
        <is>
          <t>APSPSAPCSNCTRGPNPTEASLKANSGPFSVSRFSVSGFLRGFGSSTVYYPTNTTGKMGAIAVIPGYLSYESSIEWWGPRLASHGFVVMTMNTNTIYDQPDSRANQLSSALDYLISQSNSRTSPLYNKIDSTRLGAIGWSMGGGGSLKLSTQRSINAIIPQAPYYAGFNRFDEIKTPALILACESDVVAPVAIHASPFYNRLPNSTPKAFLEINNGSHFCANSGYPDERLLGMYGIAWMKRFIDFDTRYSQFLCGPNHTADYSISEYRQNCPY</t>
        </is>
      </c>
      <c r="AE406" s="5" t="n"/>
      <c r="AF406" s="5" t="n"/>
      <c r="AG406" s="5" t="n"/>
      <c r="AH406" s="5" t="n"/>
      <c r="AI406" s="5" t="n"/>
      <c r="AJ406" s="5" t="n"/>
      <c r="AK406" s="5" t="n"/>
      <c r="AL406" s="5" t="n">
        <v>1</v>
      </c>
    </row>
    <row r="407" ht="15" customHeight="1" s="12">
      <c r="A407" s="5" t="inlineStr">
        <is>
          <t>both</t>
        </is>
      </c>
      <c r="B407" s="5" t="inlineStr">
        <is>
          <t>AQSVPWGISRVQAPAAHNRGLTGSGVKVAVLDTGISTHPDLNIRGGASFVPGEPSTQDGNGHGTHVAGTIAALNNSIGVLGVAPSAELYAVKVLGADGRGAISSIAQGLEWAGNNGMHVANLSLGSPSPSATLEQAVNSATSRGVLVVAASGNSGASSISYPARYANAMAVGATDQNNNRASFSQYGAGLDIVAPGVNVQSTYPGSTYASLNGTSMATPHVAGAAALVKQKNPSWSNVQIRNHLKNTATSLGSTNLYGSGLVNAEAATR</t>
        </is>
      </c>
      <c r="C407" s="5" t="n">
        <v>94</v>
      </c>
      <c r="D407" s="5" t="inlineStr">
        <is>
          <t>P29599.1</t>
        </is>
      </c>
      <c r="E407" s="5" t="n">
        <v>21</v>
      </c>
      <c r="F407" s="5" t="inlineStr">
        <is>
          <t>Ipet</t>
        </is>
      </c>
      <c r="G407" s="5" t="inlineStr">
        <is>
          <t>Alpha/Beta Hydrolase</t>
        </is>
      </c>
      <c r="H407" s="5" t="inlineStr">
        <is>
          <t>3.40.50.1820</t>
        </is>
      </c>
      <c r="I407" s="5" t="inlineStr">
        <is>
          <t>Bacteria</t>
        </is>
      </c>
      <c r="J407" s="5" t="inlineStr">
        <is>
          <t>Lederbergia (Bacillus) lentus</t>
        </is>
      </c>
      <c r="K407" s="5" t="inlineStr">
        <is>
          <t>Subtilisin BL</t>
        </is>
      </c>
      <c r="L407" s="5" t="inlineStr">
        <is>
          <t>PLA</t>
        </is>
      </c>
      <c r="M407" s="5" t="inlineStr">
        <is>
          <t>EC 3.4.-</t>
        </is>
      </c>
      <c r="N407" s="5" t="inlineStr">
        <is>
          <t>Oda, 2000</t>
        </is>
      </c>
      <c r="O407" s="5" t="inlineStr">
        <is>
          <t>P29599</t>
        </is>
      </c>
      <c r="P407" s="5" t="inlineStr">
        <is>
          <t>P29599.1</t>
        </is>
      </c>
      <c r="Q407" s="5" t="inlineStr">
        <is>
          <t>-</t>
        </is>
      </c>
      <c r="R407" s="5" t="inlineStr">
        <is>
          <t>P29599</t>
        </is>
      </c>
      <c r="S407" s="5" t="inlineStr">
        <is>
          <t>Subtilisin BL</t>
        </is>
      </c>
      <c r="T407" s="5" t="inlineStr">
        <is>
          <t>-</t>
        </is>
      </c>
      <c r="U407" s="5">
        <f>FALSE()</f>
        <v/>
      </c>
      <c r="V407" s="5">
        <f>TRUE()</f>
        <v/>
      </c>
      <c r="W407" s="5" t="inlineStr">
        <is>
          <t>AQSVPWGISRVQAPAAHNRGLTGSGVKVAVLDTGISTHPDLNIRGGASFVPGEPSTQDGNGHGTHVAGTIAALNNSIGVLGVAPSAELYAVKVLGADGRGAISSIAQGLEWAGNNGMHVANLSLGSPSPSATLEQAVNSATSRGVLVVAASGNSGASSISYPARYANAMAVGATDQNNNRASFSQYGAGLDIVAPGVNVQSTYPGSTYASLNGTSMATPHVAGAAALVKQKNPSWSNVQIRNHLKNTATSLGSTNLYGSGLVNAEAATR</t>
        </is>
      </c>
      <c r="X407" s="5" t="n">
        <v>1</v>
      </c>
      <c r="Y407" s="5" t="inlineStr">
        <is>
          <t>Subtilisin BL</t>
        </is>
      </c>
      <c r="Z407" s="5" t="inlineStr">
        <is>
          <t>P29599</t>
        </is>
      </c>
      <c r="AA407" s="5" t="inlineStr">
        <is>
          <t>Direct</t>
        </is>
      </c>
      <c r="AB407" s="5" t="n">
        <v>77</v>
      </c>
      <c r="AC407" s="5" t="inlineStr">
        <is>
          <t>10.1023/A:1010120128048</t>
        </is>
      </c>
      <c r="AD407" s="5" t="inlineStr">
        <is>
          <t>AQSVPWGISRVQAPAAHNRGLTGSGVKVAVLDTGISTHPDLNIRGGASFVPGEPSTQDGNGHGTHVAGTIAALNNSIGVLGVAPSAELYAVKVLGADGRGAISSIAQGLEWAGNNGMHVANLSLGSPSPSATLEQAVNSATSRGVLVVAASGNSGASSISYPARYANAMAVGATDQNNNRASFSQYGAGLDIVAPGVNVQSTYPGSTYASLNGTSMATPHVAGAAALVKQKNPSWSNVQIRNHLKNTATSLGSTNLYGSGLVNAEAATR</t>
        </is>
      </c>
      <c r="AE407" s="5" t="inlineStr">
        <is>
          <t>Lederbergia lenta</t>
        </is>
      </c>
      <c r="AF407" s="5" t="n">
        <v>1467</v>
      </c>
      <c r="AG407" s="5" t="inlineStr">
        <is>
          <t>supp_unavailable</t>
        </is>
      </c>
      <c r="AH407" s="5" t="inlineStr">
        <is>
          <t>ncbi</t>
        </is>
      </c>
      <c r="AI407" s="5" t="n"/>
      <c r="AJ407" s="5" t="n"/>
      <c r="AK407" s="5" t="n"/>
      <c r="AL407" s="5" t="n">
        <v>1</v>
      </c>
    </row>
    <row r="408" ht="15" customHeight="1" s="12">
      <c r="A408" s="5" t="inlineStr">
        <is>
          <t>both</t>
        </is>
      </c>
      <c r="B408" s="5" t="inlineStr">
        <is>
          <t>AQSVPWGISRVQAPAAHNRGLTGSGVKVAVLDTGISTHPDLNIRGGASFVPGEPSTQDGNGHGTHVAGTIAALNNSIGVLGVAPSAELYAVKVLGASGSGSVSSIAQGLEWAGNNGMHVANLSLGSPSPSATLEQAVNSATSRGVLVVAASGNSGAGSISYPARYANAMAVGATDQNNNRASFSQYGAGLDIVAPGVNVQSTYPGSTYASLNGTSMATPHVAGAAALVKQKNPSWSNVQIRNHLKNTATSLGSTNLYGSGLVNAEAATR</t>
        </is>
      </c>
      <c r="C408" s="5" t="n">
        <v>95</v>
      </c>
      <c r="D408" s="5" t="inlineStr">
        <is>
          <t>P29600.1</t>
        </is>
      </c>
      <c r="E408" s="5" t="n">
        <v>21</v>
      </c>
      <c r="F408" s="5" t="inlineStr">
        <is>
          <t>Ipet</t>
        </is>
      </c>
      <c r="G408" s="5" t="inlineStr">
        <is>
          <t>Alpha/Beta Hydrolase</t>
        </is>
      </c>
      <c r="H408" s="5" t="inlineStr">
        <is>
          <t>3.40.50.1820</t>
        </is>
      </c>
      <c r="I408" s="5" t="inlineStr">
        <is>
          <t>Bacteria</t>
        </is>
      </c>
      <c r="J408" s="5" t="inlineStr">
        <is>
          <t>Lederbergia (Bacillus) lentus</t>
        </is>
      </c>
      <c r="K408" s="5" t="inlineStr">
        <is>
          <t>Subtilisin; Savinase</t>
        </is>
      </c>
      <c r="L408" s="5" t="inlineStr">
        <is>
          <t>PLA</t>
        </is>
      </c>
      <c r="M408" s="5" t="inlineStr">
        <is>
          <t>EC 3.4.-</t>
        </is>
      </c>
      <c r="N408" s="5" t="inlineStr">
        <is>
          <t>Oda, 2000</t>
        </is>
      </c>
      <c r="O408" s="5" t="inlineStr">
        <is>
          <t>P29600</t>
        </is>
      </c>
      <c r="P408" s="5" t="inlineStr">
        <is>
          <t>P29600.1</t>
        </is>
      </c>
      <c r="Q408" s="5" t="inlineStr">
        <is>
          <t>-</t>
        </is>
      </c>
      <c r="R408" s="5" t="inlineStr">
        <is>
          <t>P29600</t>
        </is>
      </c>
      <c r="S408" s="5" t="inlineStr">
        <is>
          <t>Subtilisin Savinase</t>
        </is>
      </c>
      <c r="T408" s="5" t="inlineStr">
        <is>
          <t>-</t>
        </is>
      </c>
      <c r="U408" s="5">
        <f>FALSE()</f>
        <v/>
      </c>
      <c r="V408" s="5">
        <f>TRUE()</f>
        <v/>
      </c>
      <c r="W408" s="5" t="inlineStr">
        <is>
          <t>AQSVPWGISRVQAPAAHNRGLTGSGVKVAVLDTGISTHPDLNIRGGASFVPGEPSTQDGNGHGTHVAGTIAALNNSIGVLGVAPSAELYAVKVLGASGSGSVSSIAQGLEWAGNNGMHVANLSLGSPSPSATLEQAVNSATSRGVLVVAASGNSGAGSISYPARYANAMAVGATDQNNNRASFSQYGAGLDIVAPGVNVQSTYPGSTYASLNGTSMATPHVAGAAALVKQKNPSWSNVQIRNHLKNTATSLGSTNLYGSGLVNAEAATR</t>
        </is>
      </c>
      <c r="X408" s="5" t="n">
        <v>1</v>
      </c>
      <c r="Y408" s="5" t="inlineStr">
        <is>
          <t>Subtilisin Savinase</t>
        </is>
      </c>
      <c r="Z408" s="5" t="inlineStr">
        <is>
          <t>P29600</t>
        </is>
      </c>
      <c r="AA408" s="5" t="inlineStr">
        <is>
          <t>Direct</t>
        </is>
      </c>
      <c r="AB408" s="5" t="n">
        <v>76</v>
      </c>
      <c r="AC408" s="5" t="inlineStr">
        <is>
          <t>10.1023/A:1010120128048</t>
        </is>
      </c>
      <c r="AD408" s="5" t="inlineStr">
        <is>
          <t>AQSVPWGISRVQAPAAHNRGLTGSGVKVAVLDTGISTHPDLNIRGGASFVPGEPSTQDGNGHGTHVAGTIAALNNSIGVLGVAPSAELYAVKVLGASGSGSVSSIAQGLEWAGNNGMHVANLSLGSPSPSATLEQAVNSATSRGVLVVAASGNSGAGSISYPARYANAMAVGATDQNNNRASFSQYGAGLDIVAPGVNVQSTYPGSTYASLNGTSMATPHVAGAAALVKQKNPSWSNVQIRNHLKNTATSLGSTNLYGSGLVNAEAATR</t>
        </is>
      </c>
      <c r="AE408" s="5" t="inlineStr">
        <is>
          <t>Lederbergia lenta</t>
        </is>
      </c>
      <c r="AF408" s="5" t="n">
        <v>1467</v>
      </c>
      <c r="AG408" s="5" t="inlineStr">
        <is>
          <t>supp_unavailable</t>
        </is>
      </c>
      <c r="AH408" s="5" t="inlineStr">
        <is>
          <t>ncbi</t>
        </is>
      </c>
      <c r="AI408" s="5" t="n"/>
      <c r="AJ408" s="5" t="n"/>
      <c r="AK408" s="5" t="n"/>
      <c r="AL408" s="5" t="n">
        <v>1</v>
      </c>
    </row>
    <row r="409" ht="15" customHeight="1" s="12">
      <c r="A409" s="5" t="inlineStr">
        <is>
          <t>both</t>
        </is>
      </c>
      <c r="B409" s="5" t="inlineStr">
        <is>
          <t>MAACTDIDVVSARGTFEPGTLGFIVGDPVYAALQKKVAGKSLSSYKVNYPADLSPTSAAQGNADLVNHVRSQAASCPNQRFVLVGYSQGANVVDNSIGISSAGAVVGSPIVATLPAALEPRVSAVLLFGNPIRAIGKSVTGTYQSRTIDFCAAGDPVCENGGGDVGAHLGYRANADAAAAFAATKI</t>
        </is>
      </c>
      <c r="C409" s="5" t="n">
        <v>152</v>
      </c>
      <c r="D409" s="5" t="inlineStr">
        <is>
          <t>QEX94755.1</t>
        </is>
      </c>
      <c r="E409" s="5" t="n">
        <v>2</v>
      </c>
      <c r="F409" s="5" t="inlineStr">
        <is>
          <t>Cut</t>
        </is>
      </c>
      <c r="G409" s="5" t="inlineStr">
        <is>
          <t>Alpha/Beta Hydrolase</t>
        </is>
      </c>
      <c r="H409" s="5" t="inlineStr">
        <is>
          <t>3.40.50.1820</t>
        </is>
      </c>
      <c r="I409" s="5" t="inlineStr">
        <is>
          <t>Bacteria</t>
        </is>
      </c>
      <c r="J409" s="5" t="inlineStr">
        <is>
          <t>Streptomyces scabiei</t>
        </is>
      </c>
      <c r="K409" s="5" t="inlineStr">
        <is>
          <t>Sub1</t>
        </is>
      </c>
      <c r="L409" s="5" t="inlineStr">
        <is>
          <t>PET</t>
        </is>
      </c>
      <c r="M409" s="5" t="inlineStr">
        <is>
          <t>-</t>
        </is>
      </c>
      <c r="N409" s="5" t="inlineStr">
        <is>
          <t>Jabloune, 2020</t>
        </is>
      </c>
      <c r="O409" s="5" t="inlineStr">
        <is>
          <t>QEX94755.1</t>
        </is>
      </c>
      <c r="P409" s="5" t="inlineStr">
        <is>
          <t>QEX94755.1</t>
        </is>
      </c>
      <c r="Q409" s="5" t="inlineStr">
        <is>
          <t>-</t>
        </is>
      </c>
      <c r="R409" s="5" t="inlineStr">
        <is>
          <t>A0A5P3LVN0</t>
        </is>
      </c>
      <c r="S409" s="5" t="inlineStr">
        <is>
          <t>Cutinase</t>
        </is>
      </c>
      <c r="T409" s="5" t="inlineStr">
        <is>
          <t>Streptomyces scabiei</t>
        </is>
      </c>
      <c r="U409" s="5">
        <f>FALSE()</f>
        <v/>
      </c>
      <c r="V409" s="5">
        <f>TRUE()</f>
        <v/>
      </c>
      <c r="W409" s="5" t="inlineStr">
        <is>
          <t>MAACTDIDVVSARGTFEPGTLGFIVGDPVYAALQKKVAGKSLSSYKVNYPADLSPTSAAQGNADLVNHVRSQAASCPNQRFVLVGYSQGANVVDNSIGISSAGAVVGSPIVATLPAALEPRVSAVLLFGNPIRAIGKSVTGTYQSRTIDFCAAGDPVCENGGGDVGAHLGYRANADAAAAFAATKI</t>
        </is>
      </c>
      <c r="X409" s="5" t="n">
        <v>1</v>
      </c>
      <c r="Y409" s="5" t="inlineStr">
        <is>
          <t>Sub1</t>
        </is>
      </c>
      <c r="Z409" s="5" t="inlineStr">
        <is>
          <t>QEX94755.1</t>
        </is>
      </c>
      <c r="AA409" s="5" t="inlineStr">
        <is>
          <t>Direct</t>
        </is>
      </c>
      <c r="AB409" s="5" t="n">
        <v>177</v>
      </c>
      <c r="AC409" s="5" t="inlineStr">
        <is>
          <t>10.1264/jsme2.ME19086</t>
        </is>
      </c>
      <c r="AD409" s="5" t="inlineStr">
        <is>
          <t>MAACTDIDVVSARGTFEPGTLGFIVGDPVYAALQKKVAGKSLSSYKVNYPADLSPTSAAQGNADLVNHVRSQAASCPNQRFVLVGYSQGANVVDNSIGISSAGAVVGSPIVATLPAALEPRVSAVLLFGNPIRAIGKSVTGTYQSRTIDFCAAGDPVCENGGGDVGAHLGYRANADAAAAFAATKI</t>
        </is>
      </c>
      <c r="AE409" s="5" t="inlineStr">
        <is>
          <t>Streptomyces scabiei</t>
        </is>
      </c>
      <c r="AF409" s="5" t="n">
        <v>1930</v>
      </c>
      <c r="AG409" s="5" t="inlineStr">
        <is>
          <t>supp_unavailable</t>
        </is>
      </c>
      <c r="AH409" s="5" t="inlineStr">
        <is>
          <t>ncbi</t>
        </is>
      </c>
      <c r="AI409" s="5" t="n"/>
      <c r="AJ409" s="5" t="n"/>
      <c r="AK409" s="5" t="n"/>
      <c r="AL409" s="5" t="n">
        <v>1</v>
      </c>
    </row>
    <row r="410" ht="15" customHeight="1" s="12">
      <c r="A410" s="5" t="inlineStr">
        <is>
          <t>both</t>
        </is>
      </c>
      <c r="B410" s="5" t="inlineStr">
        <is>
          <t>MAENPYERGPAPTTSSIEASRGSFATSTVTVSRLAVSGFGGGTIYYPTSTTAGTFGAISIAPGFTALQSSIAWLGPRLASQGFVVFTIDTLTTSDQPDSRGRQLLAALDYLTQQSSVRSRIDSSRLGVVGHSMGGGGTLEAARSRPSLQAAIPLTGWNLTKTWSTVRVPTLVVGAQADTVAPVASHSIPFYNSLPSSLDKAYLELRGASHFAPNSSNTTIAKYTLSWLKRFIDNDTRYEQFLCPIPSTSLSISDYRGNCPHNG</t>
        </is>
      </c>
      <c r="C410" s="5" t="n">
        <v>62</v>
      </c>
      <c r="D410" s="5" t="inlineStr">
        <is>
          <t>WAU86704.1</t>
        </is>
      </c>
      <c r="E410" s="5" t="n">
        <v>1</v>
      </c>
      <c r="F410" s="5" t="inlineStr">
        <is>
          <t>Ipet</t>
        </is>
      </c>
      <c r="G410" s="5" t="inlineStr">
        <is>
          <t>Alpha/Beta Hydrolase</t>
        </is>
      </c>
      <c r="H410" s="5" t="inlineStr">
        <is>
          <t>3.40.50.1820</t>
        </is>
      </c>
      <c r="I410" s="5" t="inlineStr">
        <is>
          <t>Bacteria</t>
        </is>
      </c>
      <c r="J410" s="5" t="inlineStr">
        <is>
          <t>Amycolatopsis bacterium</t>
        </is>
      </c>
      <c r="K410" s="5" t="inlineStr">
        <is>
          <t>PET40</t>
        </is>
      </c>
      <c r="L410" s="5" t="inlineStr">
        <is>
          <t>PET</t>
        </is>
      </c>
      <c r="M410" s="5" t="inlineStr">
        <is>
          <t>-</t>
        </is>
      </c>
      <c r="N410" s="5" t="inlineStr">
        <is>
          <t>Zhang, 2023</t>
        </is>
      </c>
      <c r="O410" s="5" t="inlineStr">
        <is>
          <t>WAU86704.1</t>
        </is>
      </c>
      <c r="P410" s="5" t="inlineStr">
        <is>
          <t>WAU86704.1</t>
        </is>
      </c>
      <c r="Q410" s="5" t="inlineStr">
        <is>
          <t>8A2C</t>
        </is>
      </c>
      <c r="R410" s="5" t="inlineStr">
        <is>
          <t>-</t>
        </is>
      </c>
      <c r="S410" s="5" t="inlineStr">
        <is>
          <t>PET40</t>
        </is>
      </c>
      <c r="T410" s="5" t="inlineStr">
        <is>
          <t>synthetic construct</t>
        </is>
      </c>
      <c r="U410" s="5">
        <f>FALSE()</f>
        <v/>
      </c>
      <c r="V410" s="5">
        <f>TRUE()</f>
        <v/>
      </c>
      <c r="W410" s="5" t="inlineStr">
        <is>
          <t>MAENPYERGPAPTTSSIEASRGSFATSTVTVSRLAVSGFGGGTIYYPTSTTAGTFGAISIAPGFTALQSSIAWLGPRLASQGFVVFTIDTLTTSDQPDSRGRQLLAALDYLTQQSSVRSRIDSSRLGVVGHSMGGGGTLEAARSRPSLQAAIPLTGWNLTKTWSTVRVPTLVVGAQADTVAPVASHSIPFYNSLPSSLDKAYLELRGASHFAPNSSNTTIAKYTLSWLKRFIDNDTRYEQFLCPIPSTSLSISDYRGNCPHNG</t>
        </is>
      </c>
      <c r="X410" s="5" t="n">
        <v>1</v>
      </c>
      <c r="Y410" s="5" t="inlineStr">
        <is>
          <t>PET40</t>
        </is>
      </c>
      <c r="Z410" s="5" t="inlineStr">
        <is>
          <t>WAU86704</t>
        </is>
      </c>
      <c r="AA410" s="5" t="inlineStr">
        <is>
          <t>Direct</t>
        </is>
      </c>
      <c r="AB410" s="5" t="n">
        <v>196</v>
      </c>
      <c r="AC410" s="5" t="inlineStr">
        <is>
          <t>10.1111/febs.16924</t>
        </is>
      </c>
      <c r="AD410" s="5" t="inlineStr">
        <is>
          <t>MAENPYERGPAPTTSSIEASRGSFATSTVTVSRLAVSGFGGGTIYYPTSTTAGTFGAISIAPGFTALQSSIAWLGPRLASQGFVVFTIDTLTTSDQPDSRGRQLLAALDYLTQQSSVRSRIDSSRLGVVGHSMGGGGTLEAARSRPSLQAAIPLTGWNLTKTWSTVRVPTLVVGAQADTVAPVASHSIPFYNSLPSSLDKAYLELRGASHFAPNSSNTTIAKYTLSWLKRFIDNDTRYEQFLCPIPSTSLSISDYRGNCPHNG</t>
        </is>
      </c>
      <c r="AE410" s="5" t="inlineStr">
        <is>
          <t>Amycolatopsis bacterium</t>
        </is>
      </c>
      <c r="AF410" s="5" t="n"/>
      <c r="AG410" s="5" t="inlineStr">
        <is>
          <t>supp_unavailable</t>
        </is>
      </c>
      <c r="AH410" s="5" t="inlineStr">
        <is>
          <t>ncbi</t>
        </is>
      </c>
      <c r="AI410" s="5" t="n"/>
      <c r="AJ410" s="5" t="n"/>
      <c r="AK410" s="5" t="n"/>
      <c r="AL410" s="5" t="n">
        <v>1</v>
      </c>
    </row>
    <row r="411" ht="15" customHeight="1" s="12">
      <c r="A411" s="5" t="inlineStr">
        <is>
          <t>both</t>
        </is>
      </c>
      <c r="B411" s="5" t="inlineStr">
        <is>
          <t>MAEPKAQGTQKVESSTTKKEVKDAEETIKIPTLEDIDNLIDSAEEVKSEEDINKMPPLKFPVEFPEVNTRSIIGGNNYPIVLVHGFMGFGRDELLGYKYWGGVVDLQEKLNASGHETYTATVGPVSSNWDRACELYAYIVGGTVDYGEAHAKKFKHNRYGRTYPGIYKNISNENKIHLIGHSMGGQTIRTLTQLLSEGSEEEINCGQENISPLFEGGKHWIHSVSTISTPNDGTTLSDLMPAKDLISYTFGVLGTITGKNKLFSSIYDLKLDQWGLKKQNGESQRDYIERVLDSNIWNSTKDIATYDLSTEGAQELNTWVKAQPDVYYFSWTTQATKESILTGHSVAQIGPMNPIFYPTANLMGRYSRNQKDLPIIDKKWFPNDGVVNCISQDGPKLGSNDVIEQYNGGVKIGQWNAMPRIINTDHMDIVGTFGNVKDWYMDYASFLSNLSR</t>
        </is>
      </c>
      <c r="C411" s="5" t="n">
        <v>113</v>
      </c>
      <c r="D411" s="5" t="inlineStr">
        <is>
          <t>AKZ20828.1</t>
        </is>
      </c>
      <c r="E411" s="5" t="n">
        <v>25</v>
      </c>
      <c r="F411" s="5" t="inlineStr">
        <is>
          <t>Ipet</t>
        </is>
      </c>
      <c r="G411" s="5" t="inlineStr">
        <is>
          <t>Alpha/Beta Hydrolase</t>
        </is>
      </c>
      <c r="H411" s="5" t="inlineStr">
        <is>
          <t>3.40.50.1820</t>
        </is>
      </c>
      <c r="I411" s="5" t="inlineStr">
        <is>
          <t>Bacteria</t>
        </is>
      </c>
      <c r="J411" s="5" t="inlineStr">
        <is>
          <t>Clostridium botulinum ATCC3502</t>
        </is>
      </c>
      <c r="K411" s="5" t="inlineStr">
        <is>
          <t>Cbotu_EstA</t>
        </is>
      </c>
      <c r="L411" s="5" t="inlineStr">
        <is>
          <t>PET; PBAT</t>
        </is>
      </c>
      <c r="M411" s="5" t="inlineStr">
        <is>
          <t>-</t>
        </is>
      </c>
      <c r="N411" s="5" t="inlineStr">
        <is>
          <t>Perz, 2015; Perz et al., 2015</t>
        </is>
      </c>
      <c r="O411" s="5" t="inlineStr">
        <is>
          <t>AKZ20828.1</t>
        </is>
      </c>
      <c r="P411" s="5" t="inlineStr">
        <is>
          <t>AKZ20828.1</t>
        </is>
      </c>
      <c r="Q411" s="5" t="inlineStr">
        <is>
          <t>5AH1</t>
        </is>
      </c>
      <c r="R411" s="5" t="inlineStr">
        <is>
          <t>-</t>
        </is>
      </c>
      <c r="S411" s="5" t="inlineStr">
        <is>
          <t>esterase</t>
        </is>
      </c>
      <c r="T411" s="5" t="inlineStr">
        <is>
          <t>synthetic construct</t>
        </is>
      </c>
      <c r="U411" s="5">
        <f>FALSE()</f>
        <v/>
      </c>
      <c r="V411" s="5">
        <f>TRUE()</f>
        <v/>
      </c>
      <c r="W411" s="5" t="inlineStr">
        <is>
          <t>MAEPKAQGTQKVESSTTKKEVKDAEETIKIPTLEDIDNLIDSAEEVKSEEDINKMPPLKFPVEFPEVNTRSIIGGNNYPIVLVHGFMGFGRDELLGYKYWGGVVDLQEKLNASGHETYTATVGPVSSNWDRACELYAYIVGGTVDYGEAHAKKFKHNRYGRTYPGIYKNISNENKIHLIGHSMGGQTIRTLTQLLSEGSEEEINCGQENISPLFEGGKHWIHSVSTISTPNDGTTLSDLMPAKDLISYTFGVLGTITGKNKLFSSIYDLKLDQWGLKKQNGESQRDYIERVLDSNIWNSTKDIATYDLSTEGAQELNTWVKAQPDVYYFSWTTQATKESILTGHSVAQIGPMNPIFYPTANLMGRYSRNQKDLPIIDKKWFPNDGVVNCISQDGPKLGSNDVIEQYNGGVKIGQWNAMPRIINTDHMDIVGTFGNVKDWYMDYASFLSNLSR</t>
        </is>
      </c>
      <c r="X411" s="5" t="n">
        <v>1</v>
      </c>
      <c r="Y411" s="5" t="inlineStr">
        <is>
          <t>Cbotu_EstA</t>
        </is>
      </c>
      <c r="Z411" s="5" t="inlineStr">
        <is>
          <t>AKZ20828.1</t>
        </is>
      </c>
      <c r="AA411" s="5" t="inlineStr">
        <is>
          <t>Direct</t>
        </is>
      </c>
      <c r="AB411" s="5" t="n">
        <v>120</v>
      </c>
      <c r="AC411" s="5" t="inlineStr">
        <is>
          <t>10.1002/bit.25874</t>
        </is>
      </c>
      <c r="AD411" s="5" t="inlineStr">
        <is>
          <t>MAEPKAQGTQKVESSTTKKEVKDAEETIKIPTLEDIDNLIDSAEEVKSEEDINKMPPLKFPVEFPEVNTRSIIGGNNYPIVLVHGFMGFGRDELLGYKYWGGVVDLQEKLNASGHETYTATVGPVSSNWDRACELYAYIVGGTVDYGEAHAKKFKHNRYGRTYPGIYKNISNENKIHLIGHSMGGQTIRTLTQLLSEGSEEEINCGQENISPLFEGGKHWIHSVSTISTPNDGTTLSDLMPAKDLISYTFGVLGTITGKNKLFSSIYDLKLDQWGLKKQNGESQRDYIERVLDSNIWNSTKDIATYDLSTEGAQELNTWVKAQPDVYYFSWTTQATKESILTGHSVAQIGPMNPIFYPTANLMGRYSRNQKDLPIIDKKWFPNDGVVNCISQDGPKLGSNDVIEQYNGGVKIGQWNAMPRIINTDHMDIVGTFGNVKDWYMDYASFLSNLSR</t>
        </is>
      </c>
      <c r="AE411" s="5" t="inlineStr">
        <is>
          <t>Clostridium botulinum</t>
        </is>
      </c>
      <c r="AF411" s="5" t="n">
        <v>1491</v>
      </c>
      <c r="AG411" s="5" t="inlineStr">
        <is>
          <t>supp_unavailable</t>
        </is>
      </c>
      <c r="AH411" s="5" t="inlineStr">
        <is>
          <t>ncbi</t>
        </is>
      </c>
      <c r="AI411" s="5" t="n"/>
      <c r="AJ411" s="5" t="n"/>
      <c r="AK411" s="5" t="n"/>
      <c r="AL411" s="5" t="n">
        <v>1</v>
      </c>
    </row>
    <row r="412" ht="15" customHeight="1" s="12">
      <c r="A412" s="5" t="inlineStr">
        <is>
          <t>both</t>
        </is>
      </c>
      <c r="B412" s="5" t="inlineStr">
        <is>
          <t>MAFGTKPARAVPWAWSPAGSVVGSGSGADPRHLWDPEADPVIADVIEHHNVPEINKALRTWVRNDQPVPSTLPSNLRDFIEDARRLPSWTDKKKLADSFKFVKKQDTLVSVLYAFASGMMATVIPNEARAVYYSRGGSPVYFKDRIAKTAKLGYDIGAVNAYDPSGEMIVTCVKTRMIHAAVRHLLPQSPHWPAHVTPISQEDLMVTWHSLPTTIMQNLVKWKVPIPENESQGYLHSWQLCGHFLGIRDEYLPASWQQANIQAKQVLDPVLGPTKEGVVLADQLLDLGRDLDLTLLSKPILGAFTRFIMGDKLTDWVKIPREPVWSPLLETAWSPFVQIRSGVLGVVPPAENAYWLFDEFLRQFVLWYISELRMPISIEIPTVNRVNF</t>
        </is>
      </c>
      <c r="C412" s="5" t="n">
        <v>207</v>
      </c>
      <c r="D412" s="5" t="inlineStr">
        <is>
          <t>H6N4Z1</t>
        </is>
      </c>
      <c r="E412" s="5" t="n">
        <v>16</v>
      </c>
      <c r="F412" s="5" t="inlineStr">
        <is>
          <t>Lcp</t>
        </is>
      </c>
      <c r="G412" s="5" t="inlineStr">
        <is>
          <t>oxygenase-like</t>
        </is>
      </c>
      <c r="H412" s="5" t="n"/>
      <c r="I412" s="5" t="inlineStr">
        <is>
          <t>Bacteria</t>
        </is>
      </c>
      <c r="J412" s="5" t="inlineStr">
        <is>
          <t>Gordonia polyisoprenivorans</t>
        </is>
      </c>
      <c r="K412" s="5" t="inlineStr">
        <is>
          <t>Lcp2VH2</t>
        </is>
      </c>
      <c r="L412" s="5" t="inlineStr">
        <is>
          <t>NR</t>
        </is>
      </c>
      <c r="M412" s="5" t="inlineStr">
        <is>
          <t>-</t>
        </is>
      </c>
      <c r="N412" s="5" t="inlineStr">
        <is>
          <t>Hiessl, 2012</t>
        </is>
      </c>
      <c r="O412" s="5" t="inlineStr">
        <is>
          <t>H6N4Z1</t>
        </is>
      </c>
      <c r="P412" s="5" t="inlineStr">
        <is>
          <t>H6N4Z1</t>
        </is>
      </c>
      <c r="Q412" s="5" t="inlineStr">
        <is>
          <t>-</t>
        </is>
      </c>
      <c r="R412" s="5" t="inlineStr">
        <is>
          <t>H6N4Z1</t>
        </is>
      </c>
      <c r="S412" s="5" t="inlineStr">
        <is>
          <t>Latex clearing protein Lcp</t>
        </is>
      </c>
      <c r="T412" s="5" t="inlineStr">
        <is>
          <t>Gordonia polyisoprenivorans (strain DSM 44266 / VH2)</t>
        </is>
      </c>
      <c r="U412" s="5">
        <f>FALSE()</f>
        <v/>
      </c>
      <c r="V412" s="5">
        <f>TRUE()</f>
        <v/>
      </c>
      <c r="W412" s="5" t="inlineStr">
        <is>
          <t>MAFGTKPARAVPWAWSPAGSVVGSGSGADPRHLWDPEADPVIADVIEHHNVPEINKALRTWVRNDQPVPSTLPSNLRDFIEDARRLPSWTDKKKLADSFKFVKKQDTLVSVLYAFASGMMATVIPNEARAVYYSRGGSPVYFKDRIAKTAKLGYDIGAVNAYDPSGEMIVTCVKTRMIHAAVRHLLPQSPHWPAHVTPISQEDLMVTWHSLPTTIMQNLVKWKVPIPENESQGYLHSWQLCGHFLGIRDEYLPASWQQANIQAKQVLDPVLGPTKEGVVLADQLLDLGRDLDLTLLSKPILGAFTRFIMGDKLTDWVKIPREPVWSPLLETAWSPFVQIRSGVLGVVPPAENAYWLFDEFLRQFVLWYISELRMPISIEIPTVNRVNF</t>
        </is>
      </c>
      <c r="X412" s="5" t="n">
        <v>1</v>
      </c>
      <c r="Y412" s="5" t="inlineStr">
        <is>
          <t>Lcp2VH2</t>
        </is>
      </c>
      <c r="Z412" s="5" t="inlineStr">
        <is>
          <t>AFA76036.1</t>
        </is>
      </c>
      <c r="AA412" s="5" t="inlineStr">
        <is>
          <t>Direct</t>
        </is>
      </c>
      <c r="AB412" s="5" t="n">
        <v>192</v>
      </c>
      <c r="AC412" s="5" t="inlineStr">
        <is>
          <t>10.1128/AEM.07969-11</t>
        </is>
      </c>
      <c r="AD412" s="5" t="inlineStr">
        <is>
          <t>MAFGTKPARAVPWAWSPAGSVVGSGSGADPRHLWDPEADPVIADVIEHHNVPEINKALRTWVRNDQPVPSTLPSNLRDFIEDARRLPSWTDKKKLADSFKFVKKQDTLVSVLYAFASGMMATVIPNEARAVYYSRGGSPVYFKDRIAKTAKLGYDIGAVNAYDPSGEMIVTCVKTRMIHAAVRHLLPQSPHWPAHVTPISQEDLMVTWHSLPTTIMQNLVKWKVPIPENESQGYLHSWQLCGHFLGIRDEYLPASWQQANIQAKQVLDPVLGPTKEGVVLADQLLDLGRDLDLTLLSKPILGAFTRFIMGDKLTDWVKIPREPVWSPLLETAWSPFVQIRSGVLGVVPPAENAYWLFDEFLRQFVLWYISELRMPISIEIPTVNRVNF</t>
        </is>
      </c>
      <c r="AE412" s="5" t="inlineStr">
        <is>
          <t>Gordonia polyisoprenivorans</t>
        </is>
      </c>
      <c r="AF412" s="5" t="n">
        <v>84595</v>
      </c>
      <c r="AG412" s="5" t="inlineStr">
        <is>
          <t>supp_unavailable</t>
        </is>
      </c>
      <c r="AH412" s="5" t="inlineStr">
        <is>
          <t>ncbi</t>
        </is>
      </c>
      <c r="AI412" s="5" t="n"/>
      <c r="AJ412" s="5" t="n"/>
      <c r="AK412" s="5" t="n"/>
      <c r="AL412" s="5" t="n">
        <v>1</v>
      </c>
    </row>
    <row r="413" ht="15" customHeight="1" s="12">
      <c r="A413" s="5" t="inlineStr">
        <is>
          <t>both</t>
        </is>
      </c>
      <c r="B413" s="5" t="inlineStr">
        <is>
          <t>MAGNSDAMGVGNNYPIVMVHGCFGWGSNEGAGLYYWGGKESLTQKLTEKGYTVYSPSIGPVSSNWDRACELYTYIVGGTVDYGESHSKKYGHERYGRSYPGVYKQIGTKDSSGNVQKIHLIGHSMGGQTIRLLAQLLENGDPNELSFTTDGSINSLFTGGKSWVSSITSIATPHDGSQEAHIKCDIEPLTHQFVAAIAAIKGKNVNLDDLNYDFQLDQWGLKRKPGESRLAYNNRVIKSEIWKKTKDLSVWDLSPEGAREFNSYVKAQSDIDYFSIACVNTHEDKLTHFQVPNKKMNPVLVKSSIFMGMYTNNKSGEVPIDKSWWRNDGVVSVISAINPKVGSTDKIVDYSGTAVKGTWNYLGELDNTDHIEVCGMKYDRKGIEQMYFNVAEMLSKLPVE</t>
        </is>
      </c>
      <c r="C413" s="5" t="n">
        <v>114</v>
      </c>
      <c r="D413" s="5" t="inlineStr">
        <is>
          <t>AKZ20829.1</t>
        </is>
      </c>
      <c r="E413" s="5" t="n">
        <v>25</v>
      </c>
      <c r="F413" s="5" t="inlineStr">
        <is>
          <t>Ipet</t>
        </is>
      </c>
      <c r="G413" s="5" t="inlineStr">
        <is>
          <t>Alpha/Beta Hydrolase</t>
        </is>
      </c>
      <c r="H413" s="5" t="inlineStr">
        <is>
          <t>3.40.50.1820</t>
        </is>
      </c>
      <c r="I413" s="5" t="inlineStr">
        <is>
          <t>Bacteria</t>
        </is>
      </c>
      <c r="J413" s="5" t="inlineStr">
        <is>
          <t>Clostridium botulinum ATCC3502</t>
        </is>
      </c>
      <c r="K413" s="5" t="inlineStr">
        <is>
          <t>Cbotu_EstB</t>
        </is>
      </c>
      <c r="L413" s="5" t="inlineStr">
        <is>
          <t>PBAT</t>
        </is>
      </c>
      <c r="M413" s="5" t="inlineStr">
        <is>
          <t>-</t>
        </is>
      </c>
      <c r="N413" s="5" t="inlineStr">
        <is>
          <t>Perz, 2015</t>
        </is>
      </c>
      <c r="O413" s="5" t="inlineStr">
        <is>
          <t>AKZ20829.1</t>
        </is>
      </c>
      <c r="P413" s="5" t="inlineStr">
        <is>
          <t>AKZ20829.1</t>
        </is>
      </c>
      <c r="Q413" s="5" t="inlineStr">
        <is>
          <t>-</t>
        </is>
      </c>
      <c r="R413" s="5" t="inlineStr">
        <is>
          <t>-</t>
        </is>
      </c>
      <c r="S413" s="5" t="inlineStr">
        <is>
          <t>esterase</t>
        </is>
      </c>
      <c r="T413" s="5" t="inlineStr">
        <is>
          <t>synthetic construct</t>
        </is>
      </c>
      <c r="U413" s="5">
        <f>FALSE()</f>
        <v/>
      </c>
      <c r="V413" s="5">
        <f>TRUE()</f>
        <v/>
      </c>
      <c r="W413" s="5" t="inlineStr">
        <is>
          <t>MAGNSDAMGVGNNYPIVMVHGCFGWGSNEGAGLYYWGGKESLTQKLTEKGYTVYSPSIGPVSSNWDRACELYTYIVGGTVDYGESHSKKYGHERYGRSYPGVYKQIGTKDSSGNVQKIHLIGHSMGGQTIRLLAQLLENGDPNELSFTTDGSINSLFTGGKSWVSSITSIATPHDGSQEAHIKCDIEPLTHQFVAAIAAIKGKNVNLDDLNYDFQLDQWGLKRKPGESRLAYNNRVIKSEIWKKTKDLSVWDLSPEGAREFNSYVKAQSDIDYFSIACVNTHEDKLTHFQVPNKKMNPVLVKSSIFMGMYTNNKSGEVPIDKSWWRNDGVVSVISAINPKVGSTDKIVDYSGTAVKGTWNYLGELDNTDHIEVCGMKYDRKGIEQMYFNVAEMLSKLPVE</t>
        </is>
      </c>
      <c r="X413" s="5" t="n">
        <v>1</v>
      </c>
      <c r="Y413" s="5" t="inlineStr">
        <is>
          <t>Cbotu_EstB</t>
        </is>
      </c>
      <c r="Z413" s="5" t="inlineStr">
        <is>
          <t>AKZ20829.1</t>
        </is>
      </c>
      <c r="AA413" s="5" t="inlineStr">
        <is>
          <t>Direct</t>
        </is>
      </c>
      <c r="AB413" s="5" t="n">
        <v>121</v>
      </c>
      <c r="AC413" s="5" t="inlineStr">
        <is>
          <t>10.1002/bit.25874</t>
        </is>
      </c>
      <c r="AD413" s="5" t="inlineStr">
        <is>
          <t>MAGNSDAMGVGNNYPIVMVHGCFGWGSNEGAGLYYWGGKESLTQKLTEKGYTVYSPSIGPVSSNWDRACELYTYIVGGTVDYGESHSKKYGHERYGRSYPGVYKQIGTKDSSGNVQKIHLIGHSMGGQTIRLLAQLLENGDPNELSFTTDGSINSLFTGGKSWVSSITSIATPHDGSQEAHIKCDIEPLTHQFVAAIAAIKGKNVNLDDLNYDFQLDQWGLKRKPGESRLAYNNRVIKSEIWKKTKDLSVWDLSPEGAREFNSYVKAQSDIDYFSIACVNTHEDKLTHFQVPNKKMNPVLVKSSIFMGMYTNNKSGEVPIDKSWWRNDGVVSVISAINPKVGSTDKIVDYSGTAVKGTWNYLGELDNTDHIEVCGMKYDRKGIEQMYFNVAEMLSKLPVE</t>
        </is>
      </c>
      <c r="AE413" s="5" t="inlineStr">
        <is>
          <t>Clostridium botulinum</t>
        </is>
      </c>
      <c r="AF413" s="5" t="n">
        <v>1491</v>
      </c>
      <c r="AG413" s="5" t="inlineStr">
        <is>
          <t>supp_unavailable</t>
        </is>
      </c>
      <c r="AH413" s="5" t="inlineStr">
        <is>
          <t>ncbi</t>
        </is>
      </c>
      <c r="AI413" s="5" t="n"/>
      <c r="AJ413" s="5" t="n"/>
      <c r="AK413" s="5" t="n"/>
      <c r="AL413" s="5" t="n">
        <v>1</v>
      </c>
    </row>
    <row r="414" ht="15" customHeight="1" s="12">
      <c r="A414" s="5" t="inlineStr">
        <is>
          <t>both</t>
        </is>
      </c>
      <c r="B414" s="5" t="inlineStr">
        <is>
          <t>MAGRCCSRRRSGVTRLGREGCPRRQGASPFVSPGGEVFGATAGRLPRVRWTMRFPFATGGLPVWALGGLLLVAGLFPGCARRPVAPLAHAMSPSVLVPAGLAGIQDGRGRFREIMTAIMADHGAFLPGDRSSDGDGILWRLAGEPGPTGRPVPLGVSTAGIRLVLVPGLLAECVSESSLLFDDARPDVERYGYATTLVRTGGRWGSARNAAIIHEVVAKLPENDTIVFVTHSKGAVDVLEALVSYPDLAARTAAVVSVAGAIDGSPLAETFSDGLLRFAESMPLSSCPPGEGTEALDSLKRAYRLRFLAEHRLPARVRYYSLAAFASREETSAILRPFYDILAKTDALNDGLVIAADAIIPGGTLLGYPNADHLAVAMPFSKKPSLLTSVISKNSYPRPALLEAIARYVEEDLGPEKGREN</t>
        </is>
      </c>
      <c r="C414" s="5" t="n">
        <v>112</v>
      </c>
      <c r="D414" s="5" t="inlineStr">
        <is>
          <t>AKJ87264.1</t>
        </is>
      </c>
      <c r="E414" s="5" t="n">
        <v>24</v>
      </c>
      <c r="F414" s="5" t="inlineStr">
        <is>
          <t>Ipet</t>
        </is>
      </c>
      <c r="G414" s="5" t="inlineStr">
        <is>
          <t>Alpha/Beta Hydrolase</t>
        </is>
      </c>
      <c r="H414" s="5" t="inlineStr">
        <is>
          <t>3.40.50.1820</t>
        </is>
      </c>
      <c r="I414" s="5" t="inlineStr">
        <is>
          <t>Metagenome</t>
        </is>
      </c>
      <c r="J414" s="5" t="inlineStr">
        <is>
          <t>Metagenome</t>
        </is>
      </c>
      <c r="K414" s="5" t="inlineStr">
        <is>
          <t>MGS0156</t>
        </is>
      </c>
      <c r="L414" s="5" t="inlineStr">
        <is>
          <t>PLA</t>
        </is>
      </c>
      <c r="M414" s="5" t="inlineStr">
        <is>
          <t>EC 3.1.1.1</t>
        </is>
      </c>
      <c r="N414" s="5" t="inlineStr">
        <is>
          <t>Hajighasemi, 2018</t>
        </is>
      </c>
      <c r="O414" s="5" t="inlineStr">
        <is>
          <t>AKJ87264</t>
        </is>
      </c>
      <c r="P414" s="5" t="inlineStr">
        <is>
          <t>-</t>
        </is>
      </c>
      <c r="Q414" s="5" t="inlineStr">
        <is>
          <t>5D8M</t>
        </is>
      </c>
      <c r="R414" s="5" t="inlineStr">
        <is>
          <t>A0A0G3FEJ8</t>
        </is>
      </c>
      <c r="S414" s="5" t="inlineStr">
        <is>
          <t>hypothetical protein</t>
        </is>
      </c>
      <c r="T414" s="5" t="inlineStr">
        <is>
          <t>uncultured organism</t>
        </is>
      </c>
      <c r="U414" s="5">
        <f>FALSE()</f>
        <v/>
      </c>
      <c r="V414" s="5">
        <f>TRUE()</f>
        <v/>
      </c>
      <c r="W414" s="5" t="inlineStr">
        <is>
          <t>MAGRCCSRRRSGVTRLGREGCPRRQGASPFVSPGGEVFGATAGRLPRVRWTMRFPFATGGLPVWALGGLLLVAGLFPGCARRPVAPLAHAMSPSVLVPAGLAGIQDGRGRFREIMTAIMADHGAFLPGDRSSDGDGILWRLAGEPGPTGRPVPLGVSTAGIRLVLVPGLLAECVSESSLLFDDARPDVERYGYATTLVRTGGRWGSARNAAIIHEVVAKLPENDTIVFVTHSKGAVDVLEALVSYPDLAARTAAVVSVAGAIDGSPLAETFSDGLLRFAESMPLSSCPPGEGTEALDSLKRAYRLRFLAEHRLPARVRYYSLAAFASREETSAILRPFYDILAKTDALNDGLVIAADAIIPGGTLLGYPNADHLAVAMPFSKKPSLLTSVISKNSYPRPALLEAIARYVEEDLGPEKGREN</t>
        </is>
      </c>
      <c r="X414" s="5" t="n">
        <v>1</v>
      </c>
      <c r="Y414" s="5" t="inlineStr">
        <is>
          <t>MGS0156</t>
        </is>
      </c>
      <c r="Z414" s="5" t="inlineStr">
        <is>
          <t>AKJ87264</t>
        </is>
      </c>
      <c r="AA414" s="5" t="inlineStr">
        <is>
          <t>Direct</t>
        </is>
      </c>
      <c r="AB414" s="5" t="n">
        <v>86</v>
      </c>
      <c r="AC414" s="5" t="inlineStr">
        <is>
          <t>10.1021/acs.est.8b04252</t>
        </is>
      </c>
      <c r="AD414" s="5" t="inlineStr">
        <is>
          <t>MAGRCCSRRRSGVTRLGREGCPRRQGASPFVSPGGEVFGATAGRLPRVRWTMRFPFATGGLPVWALGGLLLVAGLFPGCARRPVAPLAHAMSPSVLVPAGLAGIQDGRGRFREIMTAIMADHGAFLPGDRSSDGDGILWRLAGEPGPTGRPVPLGVSTAGIRLVLVPGLLAECVSESSLLFDDARPDVERYGYATTLVRTGGRWGSARNAAIIHEVVAKLPENDTIVFVTHSKGAVDVLEALVSYPDLAARTAAVVSVAGAIDGSPLAETFSDGLLRFAESMPLSSCPPGEGTEALDSLKRAYRLRFLAEHRLPARVRYYSLAAFASREETSAILRPFYDILAKTDALNDGLVIAADAIIPGGTLLGYPNADHLAVAMPFSKKPSLLTSVISKNSYPRPALLEAIARYVEEDLGPEKGREN</t>
        </is>
      </c>
      <c r="AE414" s="5" t="inlineStr">
        <is>
          <t>Environmental metagenome</t>
        </is>
      </c>
      <c r="AF414" s="5" t="n"/>
      <c r="AG414" s="5" t="inlineStr">
        <is>
          <t>acc_in_maintext</t>
        </is>
      </c>
      <c r="AH414" s="5" t="inlineStr">
        <is>
          <t>ncbi</t>
        </is>
      </c>
      <c r="AI414" s="5" t="n"/>
      <c r="AJ414" s="5" t="n"/>
      <c r="AK414" s="5" t="n"/>
      <c r="AL414" s="5" t="n">
        <v>1</v>
      </c>
    </row>
    <row r="415" ht="15" customHeight="1" s="12">
      <c r="A415" s="5" t="inlineStr">
        <is>
          <t>both</t>
        </is>
      </c>
      <c r="B415" s="5" t="inlineStr">
        <is>
          <t>MAITLYSYHNLDNGFAVGYQNNGLGLGLPATLVSALIGGSNAQGVIPGIPWNPDSEKPALEAVQAAGWTPISASTLGYTARSMHAAPTLAKNSATARRRPRCWASTMTLATAGNRHQFPRHFRASGKCDHRLHRRCDQRPARRLRAQGLCQELRGGGFWRVAQRLADTPLPGLGGNDVVVSGHSLGGMAVNSMADLSDSTWSGFYKDANYLAYASPTQSAGDKVLNVGYENDPVFRALDGSSFNLSSLGVHDKAHESSTDNIVSLNDHYASSLWNVLPFSILNLPTWVSHLPTGYGDGMTRILDSGFYEQMTRDSTVIVANLSDPARATTWVQDLNRNAEAHKGNTFIIGSDGDDFIKGGRGADFIEGGKGNDTIRDSSGHNTFLFSGQFGNDRVIGYQATDKLVFNDVAGSTDYRDHVKVVGGDTVIGFGTDSVTLVGVSSLSGEGIVIS</t>
        </is>
      </c>
      <c r="C415" s="5" t="n">
        <v>163</v>
      </c>
      <c r="D415" s="5" t="inlineStr">
        <is>
          <t>AAF66684.1</t>
        </is>
      </c>
      <c r="E415" s="5" t="n">
        <v>4</v>
      </c>
      <c r="F415" s="5" t="inlineStr">
        <is>
          <t>Pue</t>
        </is>
      </c>
      <c r="G415" s="5" t="inlineStr">
        <is>
          <t>Alpha/Beta Hydrolase</t>
        </is>
      </c>
      <c r="H415" s="5" t="inlineStr">
        <is>
          <t>3.40.50.1820</t>
        </is>
      </c>
      <c r="I415" s="5" t="inlineStr">
        <is>
          <t>Bacteria</t>
        </is>
      </c>
      <c r="J415" s="5" t="inlineStr">
        <is>
          <t>Pseudomonas fluorescens</t>
        </is>
      </c>
      <c r="K415" s="5" t="inlineStr">
        <is>
          <t>PulA</t>
        </is>
      </c>
      <c r="L415" s="5" t="inlineStr">
        <is>
          <t>PUR</t>
        </is>
      </c>
      <c r="M415" s="5" t="inlineStr">
        <is>
          <t>-</t>
        </is>
      </c>
      <c r="N415" s="5" t="inlineStr">
        <is>
          <t>Howard, 1998; Vega, 1999</t>
        </is>
      </c>
      <c r="O415" s="5" t="inlineStr">
        <is>
          <t>AAF66684.1</t>
        </is>
      </c>
      <c r="P415" s="5" t="inlineStr">
        <is>
          <t>AAF66684.1</t>
        </is>
      </c>
      <c r="Q415" s="5" t="inlineStr">
        <is>
          <t>-</t>
        </is>
      </c>
      <c r="R415" s="5" t="inlineStr">
        <is>
          <t>Q9LAB9</t>
        </is>
      </c>
      <c r="S415" s="5" t="inlineStr">
        <is>
          <t>polyurethanase lipase A</t>
        </is>
      </c>
      <c r="T415" s="5" t="inlineStr">
        <is>
          <t>Pseudomonas fluorescens</t>
        </is>
      </c>
      <c r="U415" s="5">
        <f>FALSE()</f>
        <v/>
      </c>
      <c r="V415" s="5">
        <f>TRUE()</f>
        <v/>
      </c>
      <c r="W415" s="5" t="inlineStr">
        <is>
          <t>MAITLYSYHNLDNGFAVGYQNNGLGLGLPATLVSALIGGSNAQGVIPGIPWNPDSEKPALEAVQAAGWTPISASTLGYTARSMHAAPTLAKNSATARRRPRCWASTMTLATAGNRHQFPRHFRASGKCDHRLHRRCDQRPARRLRAQGLCQELRGGGFWRVAQRLADTPLPGLGGNDVVVSGHSLGGMAVNSMADLSDSTWSGFYKDANYLAYASPTQSAGDKVLNVGYENDPVFRALDGSSFNLSSLGVHDKAHESSTDNIVSLNDHYASSLWNVLPFSILNLPTWVSHLPTGYGDGMTRILDSGFYEQMTRDSTVIVANLSDPARATTWVQDLNRNAEAHKGNTFIIGSDGDDFIKGGRGADFIEGGKGNDTIRDSSGHNTFLFSGQFGNDRVIGYQATDKLVFNDVAGSTDYRDHVKVVGGDTVIGFGTDSVTLVGVSSLSGEGIVIS</t>
        </is>
      </c>
      <c r="X415" s="5" t="n">
        <v>1</v>
      </c>
      <c r="Y415" s="5" t="inlineStr">
        <is>
          <t>EsterasePulA</t>
        </is>
      </c>
      <c r="Z415" s="5" t="inlineStr">
        <is>
          <t>AAF66684.1</t>
        </is>
      </c>
      <c r="AA415" s="5" t="inlineStr">
        <is>
          <t>Direct</t>
        </is>
      </c>
      <c r="AB415" s="5" t="n">
        <v>49</v>
      </c>
      <c r="AC415" s="5" t="inlineStr">
        <is>
          <t>10.1016/S0964-8305(98)00051-1; 10.1016/S0964-8305(98)00068-7</t>
        </is>
      </c>
      <c r="AD415" s="5" t="inlineStr">
        <is>
          <t>MAITLYSYHNLDNGFAVGYQNNGLGLGLPATLVSALIGGSNAQGVIPGIPWNPDSEKPALEAVQAAGWTPISASTLGYTARSMHAAPTLAKNSATARRRPRCWASTMTLATAGNRHQFPRHFRASGKCDHRLHRRCDQRPARRLRAQGLCQELRGGGFWRVAQRLADTPLPGLGGNDVVVSGHSLGGMAVNSMADLSDSTWSGFYKDANYLAYASPTQSAGDKVLNVGYENDPVFRALDGSSFNLSSLGVHDKAHESSTDNIVSLNDHYASSLWNVLPFSILNLPTWVSHLPTGYGDGMTRILDSGFYEQMTRDSTVIVANLSDPARATTWVQDLNRNAEAHKGNTFIIGSDGDDFIKGGRGADFIEGGKGNDTIRDSSGHNTFLFSGQFGNDRVIGYQATDKLVFNDVAGSTDYRDHVKVVGGDTVIGFGTDSVTLVGVSSLSGEGIVIS</t>
        </is>
      </c>
      <c r="AE415" s="5" t="inlineStr">
        <is>
          <t>Pseudomonas fluorescens</t>
        </is>
      </c>
      <c r="AF415" s="5" t="n">
        <v>294</v>
      </c>
      <c r="AG415" s="5" t="inlineStr">
        <is>
          <t>supp_unavailable</t>
        </is>
      </c>
      <c r="AH415" s="5" t="inlineStr">
        <is>
          <t>ncbi</t>
        </is>
      </c>
      <c r="AI415" s="5" t="n"/>
      <c r="AJ415" s="5" t="n"/>
      <c r="AK415" s="5" t="n"/>
      <c r="AL415" s="5" t="n">
        <v>1</v>
      </c>
    </row>
    <row r="416" ht="15" customHeight="1" s="12">
      <c r="A416" s="5" t="inlineStr">
        <is>
          <t>both</t>
        </is>
      </c>
      <c r="B416" s="5" t="inlineStr">
        <is>
          <t>MAKELIQKSVEELAPLLENGSLSPVELTNAVLDHAEETQDTINAYMTIYREEAEQSAREAEKEIKNGNYRGMYHGIPMALKDNLYFKGKVTTMSSKIHKDFIPEDDATVVSKLRDAGVIFTGKLSMHEYAWGITNNNPHYGAVRNPWDTDRIPGGSSGGSGAAVSIGSSVASLGTDTAGSIRIPSSICGIVGLKPTHGRVSKYGCYPLAWTLDHIGPMTKTIKDAAGMMDIISGFDEKDPTSVNTPVNQHLKKIKGDVSNLVIGVNEDYFFNRVDDEVDQVVRGNIKALTDQGAKVEVVKIPSLKYAEWAELVTSLSEASAIHHEDMLKRPQDFGDDIRMLFELGELPSAVDYLQAQQVRRQLKQEFEEVFKKVDVLIAPTLPVVASTIGADTVELNGEQVDLIDNIIRFTGPGNLTGLPALSVPGGFKGDLPVGVQIIGPAFSEALLLDVGYAIEQTNPMKNRKPPLLTKA</t>
        </is>
      </c>
      <c r="C416" s="5" t="n">
        <v>185</v>
      </c>
      <c r="D416" s="5" t="inlineStr">
        <is>
          <t>ARF18137.1</t>
        </is>
      </c>
      <c r="E416" s="5" t="n">
        <v>10</v>
      </c>
      <c r="F416" s="5" t="inlineStr">
        <is>
          <t>NylA</t>
        </is>
      </c>
      <c r="G416" s="5" t="inlineStr">
        <is>
          <t>Amidase signature</t>
        </is>
      </c>
      <c r="H416" s="5" t="inlineStr">
        <is>
          <t>3.90.1300.10</t>
        </is>
      </c>
      <c r="I416" s="5" t="inlineStr">
        <is>
          <t>Bacteria</t>
        </is>
      </c>
      <c r="J416" s="5" t="inlineStr">
        <is>
          <t>Sporosarcina ureae P17a</t>
        </is>
      </c>
      <c r="K416" s="5" t="inlineStr">
        <is>
          <t>PURase</t>
        </is>
      </c>
      <c r="L416" s="5" t="inlineStr">
        <is>
          <t>PUR</t>
        </is>
      </c>
      <c r="M416" s="5" t="inlineStr">
        <is>
          <t>-</t>
        </is>
      </c>
      <c r="N416" s="5" t="inlineStr">
        <is>
          <t>Kang, 2021;</t>
        </is>
      </c>
      <c r="O416" s="5" t="inlineStr">
        <is>
          <t>ARF18137.1</t>
        </is>
      </c>
      <c r="P416" s="5" t="inlineStr">
        <is>
          <t>-</t>
        </is>
      </c>
      <c r="Q416" s="5" t="inlineStr">
        <is>
          <t>-</t>
        </is>
      </c>
      <c r="R416" s="5" t="inlineStr">
        <is>
          <t>-</t>
        </is>
      </c>
      <c r="S416" s="5" t="inlineStr">
        <is>
          <t>glutamyl-tRNA amidotransferase</t>
        </is>
      </c>
      <c r="T416" s="5" t="inlineStr">
        <is>
          <t>Sporosarcina ureae</t>
        </is>
      </c>
      <c r="U416" s="5">
        <f>FALSE()</f>
        <v/>
      </c>
      <c r="V416" s="5">
        <f>TRUE()</f>
        <v/>
      </c>
      <c r="W416" s="5" t="inlineStr">
        <is>
          <t>MAKELIQKSVEELAPLLENGSLSPVELTNAVLDHAEETQDTINAYMTIYREEAEQSAREAEKEIKNGNYRGMYHGIPMALKDNLYFKGKVTTMSSKIHKDFIPEDDATVVSKLRDAGVIFTGKLSMHEYAWGITNNNPHYGAVRNPWDTDRIPGGSSGGSGAAVSIGSSVASLGTDTAGSIRIPSSICGIVGLKPTHGRVSKYGCYPLAWTLDHIGPMTKTIKDAAGMMDIISGFDEKDPTSVNTPVNQHLKKIKGDVSNLVIGVNEDYFFNRVDDEVDQVVRGNIKALTDQGAKVEVVKIPSLKYAEWAELVTSLSEASAIHHEDMLKRPQDFGDDIRMLFELGELPSAVDYLQAQQVRRQLKQEFEEVFKKVDVLIAPTLPVVASTIGADTVELNGEQVDLIDNIIRFTGPGNLTGLPALSVPGGFKGDLPVGVQIIGPAFSEALLLDVGYAIEQTNPMKNRKPPLLTKA</t>
        </is>
      </c>
      <c r="X416" s="5" t="n">
        <v>1</v>
      </c>
      <c r="Y416" s="5" t="inlineStr">
        <is>
          <t>Amidase</t>
        </is>
      </c>
      <c r="Z416" s="5" t="inlineStr">
        <is>
          <t>ARF18137.1</t>
        </is>
      </c>
      <c r="AA416" s="5" t="inlineStr">
        <is>
          <t>Indirect</t>
        </is>
      </c>
      <c r="AB416" s="5" t="n">
        <v>161</v>
      </c>
      <c r="AC416" s="5" t="inlineStr">
        <is>
          <t>10.1016/j.jbiosc.2021.05.003</t>
        </is>
      </c>
      <c r="AD416" s="5" t="inlineStr">
        <is>
          <t>MAKELIQKSVEELAPLLENGSLSPVELTNAVLDHAEETQDTINAYMTIYREEAEQSAREAEKEIKNGNYRGMYHGIPMALKDNLYFKGKVTTMSSKIHKDFIPEDDATVVSKLRDAGVIFTGKLSMHEYAWGITNNNPHYGAVRNPWDTDRIPGGSSGGSGAAVSIGSSVASLGTDTAGSIRIPSSICGIVGLKPTHGRVSKYGCYPLAWTLDHIGPMTKTIKDAAGMMDIISGFDEKDPTSVNTPVNQHLKKIKGDVSNLVIGVNEDYFFNRVDDEVDQVVRGNIKALTDQGAKVEVVKIPSLKYAEWAELVTSLSEASAIHHEDMLKRPQDFGDDIRMLFELGELPSAVDYLQAQQVRRQLKQEFEEVFKKVDVLIAPTLPVVASTIGADTVELNGEQVDLIDNIIRFTGPGNLTGLPALSVPGGFKGDLPVGVQIIGPAFSEALLLDVGYAIEQTNPMKNRKPPLLTKA</t>
        </is>
      </c>
      <c r="AE416" s="5" t="inlineStr">
        <is>
          <t>Sporosarcina ureae</t>
        </is>
      </c>
      <c r="AF416" s="5" t="n">
        <v>1571</v>
      </c>
      <c r="AG416" s="5" t="inlineStr">
        <is>
          <t>acc_in_maintext</t>
        </is>
      </c>
      <c r="AH416" s="5" t="inlineStr">
        <is>
          <t>ncbi</t>
        </is>
      </c>
      <c r="AI416" s="5" t="n"/>
      <c r="AJ416" s="5" t="n"/>
      <c r="AK416" s="5" t="n"/>
      <c r="AL416" s="5" t="n">
        <v>1</v>
      </c>
    </row>
    <row r="417" ht="15" customHeight="1" s="12">
      <c r="A417" s="5" t="inlineStr">
        <is>
          <t>both</t>
        </is>
      </c>
      <c r="B417" s="5" t="inlineStr">
        <is>
          <t>MALDPGAAALLQQMAQAGVPPFNQMTVQQARQSMTGLAGTAPKYPVAKVEDRTIPGPAGQIPVRIYWPISGQKVGLVVYYHGGGWVICDLETHDGTCRQLANASDCIVMSVDYRLAPEHKFPAAVEDCYAAAAWAAENAATFGVDPSRLVVAGDSAGGNLAAVVALLAKERGGPRLAHQVLIYPVTDYSFDRPSYRENAEGYLLTRDAMEWFWRHYLNSDADGQNPLASPLRAPDLRGLPSATVITAEYDPLRDEGEAYAQRLMEAGVPTTCVRYLGQIHGFVTLEHVLPAGRQALLALGATIKGVLTGALGGQPAAA</t>
        </is>
      </c>
      <c r="C417" s="5" t="n">
        <v>107</v>
      </c>
      <c r="D417" s="5" t="inlineStr">
        <is>
          <t>UNZ81748.1</t>
        </is>
      </c>
      <c r="E417" s="5" t="n">
        <v>23</v>
      </c>
      <c r="F417" s="5" t="inlineStr">
        <is>
          <t>Ipet</t>
        </is>
      </c>
      <c r="G417" s="5" t="inlineStr">
        <is>
          <t>Alpha/Beta Hydrolase</t>
        </is>
      </c>
      <c r="H417" s="5" t="inlineStr">
        <is>
          <t>3.40.50.1820</t>
        </is>
      </c>
      <c r="I417" s="5" t="inlineStr">
        <is>
          <t>Bacteria</t>
        </is>
      </c>
      <c r="J417" s="5" t="inlineStr">
        <is>
          <t>Chloroflexi bacterium</t>
        </is>
      </c>
      <c r="K417" s="5" t="inlineStr">
        <is>
          <t>IS12</t>
        </is>
      </c>
      <c r="L417" s="5" t="inlineStr">
        <is>
          <t>PET</t>
        </is>
      </c>
      <c r="M417" s="5" t="inlineStr">
        <is>
          <t>-</t>
        </is>
      </c>
      <c r="N417" s="5" t="inlineStr">
        <is>
          <t>Distaso, 2023</t>
        </is>
      </c>
      <c r="O417" s="5" t="inlineStr">
        <is>
          <t>UNZ81748</t>
        </is>
      </c>
      <c r="P417" s="5" t="inlineStr">
        <is>
          <t>UNZ81748</t>
        </is>
      </c>
      <c r="Q417" s="5" t="inlineStr">
        <is>
          <t>-</t>
        </is>
      </c>
      <c r="R417" s="5" t="inlineStr">
        <is>
          <t>-</t>
        </is>
      </c>
      <c r="S417" s="5" t="inlineStr">
        <is>
          <t>alpha/beta hydrolase</t>
        </is>
      </c>
      <c r="T417" s="5" t="inlineStr">
        <is>
          <t>Chloroflexi bacterium enrichment culture</t>
        </is>
      </c>
      <c r="U417" s="5">
        <f>FALSE()</f>
        <v/>
      </c>
      <c r="V417" s="5">
        <f>TRUE()</f>
        <v/>
      </c>
      <c r="W417" s="5" t="inlineStr">
        <is>
          <t>MALDPGAAALLQQMAQAGVPPFNQMTVQQARQSMTGLAGTAPKYPVAKVEDRTIPGPAGQIPVRIYWPISGQKVGLVVYYHGGGWVICDLETHDGTCRQLANASDCIVMSVDYRLAPEHKFPAAVEDCYAAAAWAAENAATFGVDPSRLVVAGDSAGGNLAAVVALLAKERGGPRLAHQVLIYPVTDYSFDRPSYRENAEGYLLTRDAMEWFWRHYLNSDADGQNPLASPLRAPDLRGLPSATVITAEYDPLRDEGEAYAQRLMEAGVPTTCVRYLGQIHGFVTLEHVLPAGRQALLALGATIKGVLTGALGGQPAAA</t>
        </is>
      </c>
      <c r="X417" s="5" t="n">
        <v>1</v>
      </c>
      <c r="Y417" s="5" t="inlineStr">
        <is>
          <t>IS12</t>
        </is>
      </c>
      <c r="Z417" s="5" t="inlineStr">
        <is>
          <t>UNZ81748.1</t>
        </is>
      </c>
      <c r="AA417" s="5" t="inlineStr">
        <is>
          <t>Direct</t>
        </is>
      </c>
      <c r="AB417" s="5" t="n">
        <v>188</v>
      </c>
      <c r="AC417" s="5" t="inlineStr">
        <is>
          <t>10.1128/aem.01704-22</t>
        </is>
      </c>
      <c r="AD417" s="5" t="inlineStr">
        <is>
          <t>MALDPGAAALLQQMAQAGVPPFNQMTVQQARQSMTGLAGTAPKYPVAKVEDRTIPGPAGQIPVRIYWPISGQKVGLVVYYHGGGWVICDLETHDGTCRQLANASDCIVMSVDYRLAPEHKFPAAVEDCYAAAAWAAENAATFGVDPSRLVVAGDSAGGNLAAVVALLAKERGGPRLAHQVLIYPVTDYSFDRPSYRENAEGYLLTRDAMEWFWRHYLNSDADGQNPLASPLRAPDLRGLPSATVITAEYDPLRDEGEAYAQRLMEAGVPTTCVRYLGQIHGFVTLEHVLPAGRQALLALGATIKGVLTGALGGQPAAA</t>
        </is>
      </c>
      <c r="AE417" s="5" t="inlineStr">
        <is>
          <t>Chloroflexi bacterium enrichment culture</t>
        </is>
      </c>
      <c r="AF417" s="5" t="n">
        <v>1607791</v>
      </c>
      <c r="AG417" s="5" t="inlineStr">
        <is>
          <t>supp_unavailable</t>
        </is>
      </c>
      <c r="AH417" s="5" t="inlineStr">
        <is>
          <t>ncbi</t>
        </is>
      </c>
      <c r="AI417" s="5" t="n"/>
      <c r="AJ417" s="5" t="n"/>
      <c r="AK417" s="5" t="n"/>
      <c r="AL417" s="5" t="n">
        <v>1</v>
      </c>
    </row>
    <row r="418" ht="15" customHeight="1" s="12">
      <c r="A418" s="5" t="inlineStr">
        <is>
          <t>both</t>
        </is>
      </c>
      <c r="B418" s="5" t="inlineStr">
        <is>
          <t>MALYALRELTLQSLGPLGAMIEAGYRAVNFWGESVAWLPGLREADAALELFTRLTKAYGKPSFEIDEVFVRGQRVAVTETALIEEPFCRLLHFRKDMSNPGPRVLLVAPLSGHYATLLRPTVEALLPGHDVYITDWADARLVPLDAGHFDLGCYVDYLKKFLRYLGAGTHIVAVCQPGVPVLCAVAQMAEDNEQVQPRSMTLIAAPIDTRVSPTAVDQFAQQYSLAWFEANVIERVPAGYPGNGRRVYPGFLQLAGFVSMNVAHHAGAHLDFYRHLVDGRQSEAARHRKFYDEYNAVLDVPAEYYLETIQKVFLEHHLCRGRMEVGQRRVYPEAIANVSLLTIEGSEDDITGRGQTEAAHALCAGLAADRKEHLVVDGVGHYGTFAGQRFRESILPAMTQFIQRCAD</t>
        </is>
      </c>
      <c r="C418" s="5" t="n">
        <v>156</v>
      </c>
      <c r="D418" s="5" t="inlineStr">
        <is>
          <t>Q0K2G9</t>
        </is>
      </c>
      <c r="E418" s="5" t="n">
        <v>3</v>
      </c>
      <c r="F418" s="5" t="inlineStr">
        <is>
          <t>PhaZ</t>
        </is>
      </c>
      <c r="G418" s="5" t="inlineStr">
        <is>
          <t>Alpha/Beta Hydrolase</t>
        </is>
      </c>
      <c r="H418" s="5" t="inlineStr">
        <is>
          <t>3.40.50.1820</t>
        </is>
      </c>
      <c r="I418" s="5" t="inlineStr">
        <is>
          <t>Bacteria</t>
        </is>
      </c>
      <c r="J418" s="5" t="inlineStr">
        <is>
          <t>Cuprivadus necator ATC17699</t>
        </is>
      </c>
      <c r="K418" s="5" t="inlineStr">
        <is>
          <t>PhaZ5</t>
        </is>
      </c>
      <c r="L418" s="5" t="inlineStr">
        <is>
          <t>PHA</t>
        </is>
      </c>
      <c r="M418" s="5" t="inlineStr">
        <is>
          <t>-</t>
        </is>
      </c>
      <c r="N418" s="5" t="inlineStr">
        <is>
          <t>Brigham,2012</t>
        </is>
      </c>
      <c r="O418" s="5" t="inlineStr">
        <is>
          <t>Q0K2G9</t>
        </is>
      </c>
      <c r="P418" s="5" t="inlineStr">
        <is>
          <t>Q0K2G9</t>
        </is>
      </c>
      <c r="Q418" s="5" t="inlineStr">
        <is>
          <t>-</t>
        </is>
      </c>
      <c r="R418" s="5" t="inlineStr">
        <is>
          <t>Q0K2G9</t>
        </is>
      </c>
      <c r="S418" s="5" t="inlineStr">
        <is>
          <t>poly(3-hydroxybutyrate) depolymerase</t>
        </is>
      </c>
      <c r="T418" s="5" t="inlineStr">
        <is>
          <t>Cupriavidus necator H16</t>
        </is>
      </c>
      <c r="U418" s="5">
        <f>FALSE()</f>
        <v/>
      </c>
      <c r="V418" s="5">
        <f>TRUE()</f>
        <v/>
      </c>
      <c r="W418" s="5" t="inlineStr">
        <is>
          <t>MALYALRELTLQSLGPLGAMIEAGYRAVNFWGESVAWLPGLREADAALELFTRLTKAYGKPSFEIDEVFVRGQRVAVTETALIEEPFCRLLHFRKDMSNPGPRVLLVAPLSGHYATLLRPTVEALLPGHDVYITDWADARLVPLDAGHFDLGCYVDYLKKFLRYLGAGTHIVAVCQPGVPVLCAVAQMAEDNEQVQPRSMTLIAAPIDTRVSPTAVDQFAQQYSLAWFEANVIERVPAGYPGNGRRVYPGFLQLAGFVSMNVAHHAGAHLDFYRHLVDGRQSEAARHRKFYDEYNAVLDVPAEYYLETIQKVFLEHHLCRGRMEVGQRRVYPEAIANVSLLTIEGSEDDITGRGQTEAAHALCAGLAADRKEHLVVDGVGHYGTFAGQRFRESILPAMTQFIQRCAD</t>
        </is>
      </c>
      <c r="X418" s="5" t="n">
        <v>1</v>
      </c>
      <c r="Y418" s="5" t="inlineStr">
        <is>
          <t>PhaZ5</t>
        </is>
      </c>
      <c r="Z418" s="5" t="inlineStr">
        <is>
          <t>WP_011616952.1</t>
        </is>
      </c>
      <c r="AA418" s="5" t="inlineStr">
        <is>
          <t>Direct</t>
        </is>
      </c>
      <c r="AB418" s="5" t="n">
        <v>104</v>
      </c>
      <c r="AC418" s="5" t="inlineStr">
        <is>
          <t>10.1186/2191-0855-2-26</t>
        </is>
      </c>
      <c r="AD418" s="5" t="inlineStr">
        <is>
          <t>MALYALRELTLQSLGPLGAMIEAGYRAVNFWGESVAWLPGLREADAALELFTRLTKAYGKPSFEIDEVFVRGQRVAVTETALIEEPFCRLLHFRKDMSNPGPRVLLVAPLSGHYATLLRPTVEALLPGHDVYITDWADARLVPLDAGHFDLGCYVDYLKKFLRYLGAGTHIVAVCQPGVPVLCAVAQMAEDNEQVQPRSMTLIAAPIDTRVSPTAVDQFAQQYSLAWFEANVIERVPAGYPGNGRRVYPGFLQLAGFVSMNVAHHAGAHLDFYRHLVDGRQSEAARHRKFYDEYNAVLDVPAEYYLETIQKVFLEHHLCRGRMEVGQRRVYPEAIANVSLLTIEGSEDDITGRGQTEAAHALCAGLAADRKEHLVVDGVGHYGTFAGQRFRESILPAMTQFIQRCAD</t>
        </is>
      </c>
      <c r="AE418" s="5" t="inlineStr">
        <is>
          <t>Cupriavidus necator</t>
        </is>
      </c>
      <c r="AF418" s="5" t="n">
        <v>106590</v>
      </c>
      <c r="AG418" s="5" t="inlineStr">
        <is>
          <t>supp_unavailable</t>
        </is>
      </c>
      <c r="AH418" s="5" t="inlineStr">
        <is>
          <t>ncbi</t>
        </is>
      </c>
      <c r="AI418" s="5" t="n"/>
      <c r="AJ418" s="5" t="n"/>
      <c r="AK418" s="5" t="n"/>
      <c r="AL418" s="5" t="n">
        <v>1</v>
      </c>
    </row>
    <row r="419" ht="15" customHeight="1" s="12">
      <c r="A419" s="5" t="inlineStr">
        <is>
          <t>both</t>
        </is>
      </c>
      <c r="B419" s="5" t="inlineStr">
        <is>
          <t>MALYPSARWVLDRMAERGTRPFNEVPVERARQQFDAMMAGAPRPEVARTEDRTVPGPAGDIPVRIYWPQQQTLPLLLVYFHGGGWIMGSIESHDPTCRAIANVAGCIVVSVGYRLAPEHKFPEPLEDCYAAVRWAEENAASLGADPSLLAVGGDSAGGNLAAAVSLLARDRGGPRLAHQVLAYPVLSHGAAFPSYEENADGYFLTREMMLYCWRQYLRDEKDGDDPYASPLKASELSGLPTATIITAEHDPLRDEAEAYGVRLAQAGVPNYCLRYVGMIHGFLSLDNLLPPGRHALWSVATGLRLAATETHKRA</t>
        </is>
      </c>
      <c r="C419" s="5" t="n">
        <v>106</v>
      </c>
      <c r="D419" s="5" t="inlineStr">
        <is>
          <t>UNZ81746.1</t>
        </is>
      </c>
      <c r="E419" s="5" t="n">
        <v>23</v>
      </c>
      <c r="F419" s="5" t="inlineStr">
        <is>
          <t>Ipet</t>
        </is>
      </c>
      <c r="G419" s="5" t="inlineStr">
        <is>
          <t>Alpha/Beta Hydrolase</t>
        </is>
      </c>
      <c r="H419" s="5" t="inlineStr">
        <is>
          <t>3.40.50.1820</t>
        </is>
      </c>
      <c r="I419" s="5" t="inlineStr">
        <is>
          <t>Bacteria</t>
        </is>
      </c>
      <c r="J419" s="5" t="inlineStr">
        <is>
          <t>Chloroflexi bacterium</t>
        </is>
      </c>
      <c r="K419" s="5" t="inlineStr">
        <is>
          <t>IS10</t>
        </is>
      </c>
      <c r="L419" s="5" t="inlineStr">
        <is>
          <t>PET</t>
        </is>
      </c>
      <c r="M419" s="5" t="inlineStr">
        <is>
          <t>-</t>
        </is>
      </c>
      <c r="N419" s="5" t="inlineStr">
        <is>
          <t>Distaso, 2023</t>
        </is>
      </c>
      <c r="O419" s="5" t="inlineStr">
        <is>
          <t>UNZ81746</t>
        </is>
      </c>
      <c r="P419" s="5" t="inlineStr">
        <is>
          <t>UNZ81746</t>
        </is>
      </c>
      <c r="Q419" s="5" t="inlineStr">
        <is>
          <t>-</t>
        </is>
      </c>
      <c r="R419" s="5" t="inlineStr">
        <is>
          <t>-</t>
        </is>
      </c>
      <c r="S419" s="5" t="inlineStr">
        <is>
          <t>alpha/beta hydrolase</t>
        </is>
      </c>
      <c r="T419" s="5" t="inlineStr">
        <is>
          <t>Chloroflexi bacterium enrichment culture</t>
        </is>
      </c>
      <c r="U419" s="5">
        <f>FALSE()</f>
        <v/>
      </c>
      <c r="V419" s="5">
        <f>TRUE()</f>
        <v/>
      </c>
      <c r="W419" s="5" t="inlineStr">
        <is>
          <t>MALYPSARWVLDRMAERGTRPFNEVPVERARQQFDAMMAGAPRPEVARTEDRTVPGPAGDIPVRIYWPQQQTLPLLLVYFHGGGWIMGSIESHDPTCRAIANVAGCIVVSVGYRLAPEHKFPEPLEDCYAAVRWAEENAASLGADPSLLAVGGDSAGGNLAAAVSLLARDRGGPRLAHQVLAYPVLSHGAAFPSYEENADGYFLTREMMLYCWRQYLRDEKDGDDPYASPLKASELSGLPTATIITAEHDPLRDEAEAYGVRLAQAGVPNYCLRYVGMIHGFLSLDNLLPPGRHALWSVATGLRLAATETHKRA</t>
        </is>
      </c>
      <c r="X419" s="5" t="n">
        <v>1</v>
      </c>
      <c r="Y419" s="5" t="inlineStr">
        <is>
          <t>IS10</t>
        </is>
      </c>
      <c r="Z419" s="5" t="inlineStr">
        <is>
          <t>UNZ81746.1</t>
        </is>
      </c>
      <c r="AA419" s="5" t="inlineStr">
        <is>
          <t>Direct</t>
        </is>
      </c>
      <c r="AB419" s="5" t="n">
        <v>186</v>
      </c>
      <c r="AC419" s="5" t="inlineStr">
        <is>
          <t>10.1128/aem.01704-22</t>
        </is>
      </c>
      <c r="AD419" s="5" t="inlineStr">
        <is>
          <t>MALYPSARWVLDRMAERGTRPFNEVPVERARQQFDAMMAGAPRPEVARTEDRTVPGPAGDIPVRIYWPQQQTLPLLLVYFHGGGWIMGSIESHDPTCRAIANVAGCIVVSVGYRLAPEHKFPEPLEDCYAAVRWAEENAASLGADPSLLAVGGDSAGGNLAAAVSLLARDRGGPRLAHQVLAYPVLSHGAAFPSYEENADGYFLTREMMLYCWRQYLRDEKDGDDPYASPLKASELSGLPTATIITAEHDPLRDEAEAYGVRLAQAGVPNYCLRYVGMIHGFLSLDNLLPPGRHALWSVATGLRLAATETHKRA</t>
        </is>
      </c>
      <c r="AE419" s="5" t="inlineStr">
        <is>
          <t>Chloroflexi bacterium enrichment culture</t>
        </is>
      </c>
      <c r="AF419" s="5" t="n">
        <v>1607791</v>
      </c>
      <c r="AG419" s="5" t="inlineStr">
        <is>
          <t>supp_unavailable</t>
        </is>
      </c>
      <c r="AH419" s="5" t="inlineStr">
        <is>
          <t>ncbi</t>
        </is>
      </c>
      <c r="AI419" s="5" t="n"/>
      <c r="AJ419" s="5" t="n"/>
      <c r="AK419" s="5" t="n"/>
      <c r="AL419" s="5" t="n">
        <v>1</v>
      </c>
    </row>
    <row r="420" ht="15" customHeight="1" s="12">
      <c r="A420" s="5" t="inlineStr">
        <is>
          <t>both</t>
        </is>
      </c>
      <c r="B420" s="5" t="inlineStr">
        <is>
          <t>MANPYERGPAPTTSSIEASRGPFAIASVTVSRSSVSGFGGGTIYYPRDTSEGTFGAVAIAPGFTADEGSMAWYGPRIASQGFVVFTIDTITRLDQPDSRGRQLLAALDYLTQRSSVRSRIDSSRLAVMGHSMGGGGSLEASVSRPSLKAAIPLTPWNLKKNWRDVRVPTLIVGAESDSIASVRTHAEPFYESIPSTTNKAYLELNNATHFAPNISNTTIAKYSISWLKRFVDNDTRYEQFLCPPPRPDRDIEEYRSTCPH</t>
        </is>
      </c>
      <c r="C420" s="5" t="n">
        <v>53</v>
      </c>
      <c r="D420" s="5" t="inlineStr">
        <is>
          <t>SAY37582.1</t>
        </is>
      </c>
      <c r="E420" s="5" t="n">
        <v>1</v>
      </c>
      <c r="F420" s="5" t="inlineStr">
        <is>
          <t>Ipet</t>
        </is>
      </c>
      <c r="G420" s="5" t="inlineStr">
        <is>
          <t>Alpha/Beta Hydrolase</t>
        </is>
      </c>
      <c r="H420" s="5" t="inlineStr">
        <is>
          <t>3.40.50.1820</t>
        </is>
      </c>
      <c r="I420" s="5" t="inlineStr">
        <is>
          <t>Bacteria</t>
        </is>
      </c>
      <c r="J420" s="5" t="inlineStr">
        <is>
          <t>Compost metagenome</t>
        </is>
      </c>
      <c r="K420" s="5" t="inlineStr">
        <is>
          <t>PHL-21</t>
        </is>
      </c>
      <c r="L420" s="5" t="inlineStr">
        <is>
          <t>PET</t>
        </is>
      </c>
      <c r="M420" s="5" t="inlineStr">
        <is>
          <t>-</t>
        </is>
      </c>
      <c r="N420" s="5" t="inlineStr">
        <is>
          <t>Sonnendecker, 2022</t>
        </is>
      </c>
      <c r="O420" s="5" t="inlineStr">
        <is>
          <t>SAY37582.1</t>
        </is>
      </c>
      <c r="P420" s="5" t="inlineStr">
        <is>
          <t>SAY37582.1</t>
        </is>
      </c>
      <c r="Q420" s="5" t="inlineStr">
        <is>
          <t>-</t>
        </is>
      </c>
      <c r="R420" s="5" t="inlineStr">
        <is>
          <t>-</t>
        </is>
      </c>
      <c r="S420" s="5" t="inlineStr">
        <is>
          <t>Hydrolase 2</t>
        </is>
      </c>
      <c r="T420" s="5" t="inlineStr">
        <is>
          <t>compost metagenome</t>
        </is>
      </c>
      <c r="U420" s="5">
        <f>FALSE()</f>
        <v/>
      </c>
      <c r="V420" s="5">
        <f>TRUE()</f>
        <v/>
      </c>
      <c r="W420" s="5" t="inlineStr">
        <is>
          <t>MANPYERGPAPTTSSIEASRGPFAIASVTVSRSSVSGFGGGTIYYPRDTSEGTFGAVAIAPGFTADEGSMAWYGPRIASQGFVVFTIDTITRLDQPDSRGRQLLAALDYLTQRSSVRSRIDSSRLAVMGHSMGGGGSLEASVSRPSLKAAIPLTPWNLKKNWRDVRVPTLIVGAESDSIASVRTHAEPFYESIPSTTNKAYLELNNATHFAPNISNTTIAKYSISWLKRFVDNDTRYEQFLCPPPRPDRDIEEYRSTCPH</t>
        </is>
      </c>
      <c r="X420" s="5" t="n">
        <v>1</v>
      </c>
      <c r="Y420" s="5" t="inlineStr">
        <is>
          <t>PHL-2</t>
        </is>
      </c>
      <c r="Z420" s="5" t="inlineStr">
        <is>
          <t>SAY37582.1</t>
        </is>
      </c>
      <c r="AA420" s="5" t="inlineStr">
        <is>
          <t>Direct</t>
        </is>
      </c>
      <c r="AB420" s="5" t="n">
        <v>171</v>
      </c>
      <c r="AC420" s="5" t="inlineStr">
        <is>
          <t>10.1002/cssc.202101062</t>
        </is>
      </c>
      <c r="AD420" s="5" t="inlineStr">
        <is>
          <t>MANPYERGPAPTTSSIEASRGPFAIASVTVSRSSVSGFGGGTIYYPRDTSEGTFGAVAIAPGFTADEGSMAWYGPRIASQGFVVFTIDTITRLDQPDSRGRQLLAALDYLTQRSSVRSRIDSSRLAVMGHSMGGGGSLEASVSRPSLKAAIPLTPWNLKKNWRDVRVPTLIVGAESDSIASVRTHAEPFYESIPSTTNKAYLELNNATHFAPNISNTTIAKYSISWLKRFVDNDTRYEQFLCPPPRPDRDIEEYRSTCPH</t>
        </is>
      </c>
      <c r="AE420" s="5" t="inlineStr">
        <is>
          <t>compost metagenome</t>
        </is>
      </c>
      <c r="AF420" s="5" t="n"/>
      <c r="AG420" s="5" t="inlineStr">
        <is>
          <t>supp_unavailable</t>
        </is>
      </c>
      <c r="AH420" s="5" t="inlineStr">
        <is>
          <t>ncbi</t>
        </is>
      </c>
      <c r="AI420" s="5" t="n"/>
      <c r="AJ420" s="5" t="n"/>
      <c r="AK420" s="5" t="n"/>
      <c r="AL420" s="5" t="n">
        <v>1</v>
      </c>
    </row>
    <row r="421" ht="15" customHeight="1" s="12">
      <c r="A421" s="5" t="inlineStr">
        <is>
          <t>both</t>
        </is>
      </c>
      <c r="B421" s="5" t="inlineStr">
        <is>
          <t>MANPYERGPDPTVQSIEAVRGPFSVSETNVSRLVVTGFGGGTIYYPRDTSQGTFGAVAIAPGFTASEGSMAWYGPRIASQGFVVFTIDTLTRLDQPDSRGRQLLAALDYLTQRSSVRSRIDSSRLAVMGHSMGGGGSLEASESRPSLKASIPLTPWNLKKNWRNNRVPTLIVGAENDSIASVRTHAEPFYESIPSTTNKAYLELNNATHFAPNISNTTIAKYSISWLKRFVDNDTRYEQFLCPPPRPDRDIEEYRCTCPY</t>
        </is>
      </c>
      <c r="C421" s="5" t="n">
        <v>52</v>
      </c>
      <c r="D421" s="5" t="inlineStr">
        <is>
          <t>SAY37579.1</t>
        </is>
      </c>
      <c r="E421" s="5" t="n">
        <v>1</v>
      </c>
      <c r="F421" s="5" t="inlineStr">
        <is>
          <t>Ipet</t>
        </is>
      </c>
      <c r="G421" s="5" t="inlineStr">
        <is>
          <t>Alpha/Beta Hydrolase</t>
        </is>
      </c>
      <c r="H421" s="5" t="inlineStr">
        <is>
          <t>3.40.50.1820</t>
        </is>
      </c>
      <c r="I421" s="5" t="inlineStr">
        <is>
          <t>Bacteria</t>
        </is>
      </c>
      <c r="J421" s="5" t="inlineStr">
        <is>
          <t>Compost metagenome</t>
        </is>
      </c>
      <c r="K421" s="5" t="inlineStr">
        <is>
          <t>PHL-11</t>
        </is>
      </c>
      <c r="L421" s="5" t="inlineStr">
        <is>
          <t>PET</t>
        </is>
      </c>
      <c r="M421" s="5" t="inlineStr">
        <is>
          <t>-</t>
        </is>
      </c>
      <c r="N421" s="5" t="inlineStr">
        <is>
          <t>Sonnendecker, 2022</t>
        </is>
      </c>
      <c r="O421" s="5" t="inlineStr">
        <is>
          <t>SAY37579.1</t>
        </is>
      </c>
      <c r="P421" s="5" t="inlineStr">
        <is>
          <t>SAY37579.1</t>
        </is>
      </c>
      <c r="Q421" s="5" t="inlineStr">
        <is>
          <t>-</t>
        </is>
      </c>
      <c r="R421" s="5" t="inlineStr">
        <is>
          <t>-</t>
        </is>
      </c>
      <c r="S421" s="5" t="inlineStr">
        <is>
          <t>Hydrolase 1</t>
        </is>
      </c>
      <c r="T421" s="5" t="inlineStr">
        <is>
          <t>compost metagenome</t>
        </is>
      </c>
      <c r="U421" s="5">
        <f>FALSE()</f>
        <v/>
      </c>
      <c r="V421" s="5">
        <f>TRUE()</f>
        <v/>
      </c>
      <c r="W421" s="5" t="inlineStr">
        <is>
          <t>MANPYERGPDPTVQSIEAVRGPFSVSETNVSRLVVTGFGGGTIYYPRDTSQGTFGAVAIAPGFTASEGSMAWYGPRIASQGFVVFTIDTLTRLDQPDSRGRQLLAALDYLTQRSSVRSRIDSSRLAVMGHSMGGGGSLEASESRPSLKASIPLTPWNLKKNWRNNRVPTLIVGAENDSIASVRTHAEPFYESIPSTTNKAYLELNNATHFAPNISNTTIAKYSISWLKRFVDNDTRYEQFLCPPPRPDRDIEEYRCTCPY</t>
        </is>
      </c>
      <c r="X421" s="5" t="n">
        <v>1</v>
      </c>
      <c r="Y421" s="5" t="inlineStr">
        <is>
          <t>PHL-1</t>
        </is>
      </c>
      <c r="Z421" s="5" t="inlineStr">
        <is>
          <t>SAY37579.1</t>
        </is>
      </c>
      <c r="AA421" s="5" t="inlineStr">
        <is>
          <t>Direct</t>
        </is>
      </c>
      <c r="AB421" s="5" t="n">
        <v>172</v>
      </c>
      <c r="AC421" s="5" t="inlineStr">
        <is>
          <t>10.1002/cssc.202101062</t>
        </is>
      </c>
      <c r="AD421" s="5" t="inlineStr">
        <is>
          <t>MANPYERGPDPTVQSIEAVRGPFSVSETNVSRLVVTGFGGGTIYYPRDTSQGTFGAVAIAPGFTASEGSMAWYGPRIASQGFVVFTIDTLTRLDQPDSRGRQLLAALDYLTQRSSVRSRIDSSRLAVMGHSMGGGGSLEASESRPSLKASIPLTPWNLKKNWRNNRVPTLIVGAENDSIASVRTHAEPFYESIPSTTNKAYLELNNATHFAPNISNTTIAKYSISWLKRFVDNDTRYEQFLCPPPRPDRDIEEYRCTCPY</t>
        </is>
      </c>
      <c r="AE421" s="5" t="inlineStr">
        <is>
          <t>compost metagenome</t>
        </is>
      </c>
      <c r="AF421" s="5" t="n"/>
      <c r="AG421" s="5" t="inlineStr">
        <is>
          <t>supp_unavailable</t>
        </is>
      </c>
      <c r="AH421" s="5" t="inlineStr">
        <is>
          <t>ncbi</t>
        </is>
      </c>
      <c r="AI421" s="5" t="n"/>
      <c r="AJ421" s="5" t="n"/>
      <c r="AK421" s="5" t="n"/>
      <c r="AL421" s="5" t="n">
        <v>1</v>
      </c>
    </row>
    <row r="422" ht="15" customHeight="1" s="12">
      <c r="A422" s="5" t="inlineStr">
        <is>
          <t>both</t>
        </is>
      </c>
      <c r="B422" s="5" t="inlineStr">
        <is>
          <t>MANPYERGPNPTDALLEARSGPFSVSEENVSRLSASGFGGGTIYYPRENNTYGAVAISPGYTGTEASIAWLGERIASHGFVVITIDTITTLDQPDSRAEQLNAALNHMINRASSTVRSRIDSSRLAVMGHSMGGGGSLRLASQRPDLKAAIPLTPWHLNKNWSSVRVPTLIIGADLDTIAPVLTHARPFYNSLPTSISKAYLELDGATHFAPNIPNKIIGKYSVAWLKRFVDNDTRYTQFLCPGPRDGLFGEVEEYRSTCPF</t>
        </is>
      </c>
      <c r="C422" s="5" t="n">
        <v>13</v>
      </c>
      <c r="D422" s="5" t="inlineStr">
        <is>
          <t>ADV92528.1</t>
        </is>
      </c>
      <c r="E422" s="5" t="n">
        <v>1</v>
      </c>
      <c r="F422" s="5" t="inlineStr">
        <is>
          <t>Ipet</t>
        </is>
      </c>
      <c r="G422" s="5" t="inlineStr">
        <is>
          <t>Alpha/Beta Hydrolase</t>
        </is>
      </c>
      <c r="H422" s="5" t="inlineStr">
        <is>
          <t>3.40.50.1820</t>
        </is>
      </c>
      <c r="I422" s="5" t="inlineStr">
        <is>
          <t>Bacteria</t>
        </is>
      </c>
      <c r="J422" s="5" t="inlineStr">
        <is>
          <t>Thermobifida fusca DSM44342</t>
        </is>
      </c>
      <c r="K422" s="5" t="inlineStr">
        <is>
          <t>TfH42_Cut1</t>
        </is>
      </c>
      <c r="L422" s="5" t="inlineStr">
        <is>
          <t>PET</t>
        </is>
      </c>
      <c r="M422" s="5" t="inlineStr">
        <is>
          <t>EC 3.1.1.74</t>
        </is>
      </c>
      <c r="N422" s="5" t="inlineStr">
        <is>
          <t>Herrero Acero, 2011</t>
        </is>
      </c>
      <c r="O422" s="5" t="inlineStr">
        <is>
          <t>E9LVI0_THEFU</t>
        </is>
      </c>
      <c r="P422" s="5" t="inlineStr">
        <is>
          <t>ADV92528.1</t>
        </is>
      </c>
      <c r="Q422" s="5" t="inlineStr">
        <is>
          <t>-</t>
        </is>
      </c>
      <c r="R422" s="5" t="inlineStr">
        <is>
          <t>E9LVI0_THEFU</t>
        </is>
      </c>
      <c r="S422" s="5" t="inlineStr">
        <is>
          <t>cutinase 1</t>
        </is>
      </c>
      <c r="T422" s="5" t="inlineStr">
        <is>
          <t>Thermobifida fusca</t>
        </is>
      </c>
      <c r="U422" s="5">
        <f>FALSE()</f>
        <v/>
      </c>
      <c r="V422" s="5">
        <f>TRUE()</f>
        <v/>
      </c>
      <c r="W422" s="5" t="inlineStr">
        <is>
          <t>MANPYERGPNPTDALLEARSGPFSVSEENVSRLSASGFGGGTIYYPRENNTYGAVAISPGYTGTEASIAWLGERIASHGFVVITIDTITTLDQPDSRAEQLNAALNHMINRASSTVRSRIDSSRLAVMGHSMGGGGSLRLASQRPDLKAAIPLTPWHLNKNWSSVRVPTLIIGADLDTIAPVLTHARPFYNSLPTSISKAYLELDGATHFAPNIPNKIIGKYSVAWLKRFVDNDTRYTQFLCPGPRDGLFGEVEEYRSTCPF</t>
        </is>
      </c>
      <c r="X422" s="5" t="n">
        <v>1</v>
      </c>
      <c r="Y422" s="5" t="inlineStr">
        <is>
          <t>TfH42_Cut1</t>
        </is>
      </c>
      <c r="Z422" s="5" t="inlineStr">
        <is>
          <t>ADV92528.1</t>
        </is>
      </c>
      <c r="AA422" s="5" t="inlineStr">
        <is>
          <t>Direct</t>
        </is>
      </c>
      <c r="AB422" s="5" t="n">
        <v>21</v>
      </c>
      <c r="AC422" s="5" t="inlineStr">
        <is>
          <t>10.1021/ma200949p</t>
        </is>
      </c>
      <c r="AD422" s="5" t="inlineStr">
        <is>
          <t>MANPYERGPNPTDALLEARSGPFSVSEENVSRLSASGFGGGTIYYPRENNTYGAVAISPGYTGTEASIAWLGERIASHGFVVITIDTITTLDQPDSRAEQLNAALNHMINRASSTVRSRIDSSRLAVMGHSMGGGGSLRLASQRPDLKAAIPLTPWHLNKNWSSVRVPTLIIGADLDTIAPVLTHARPFYNSLPTSISKAYLELDGATHFAPNIPNKIIGKYSVAWLKRFVDNDTRYTQFLCPGPRDGLFGEVEEYRSTCPF</t>
        </is>
      </c>
      <c r="AE422" s="5" t="inlineStr">
        <is>
          <t>Thermobifida fusca</t>
        </is>
      </c>
      <c r="AF422" s="5" t="n">
        <v>2021</v>
      </c>
      <c r="AG422" s="5" t="inlineStr">
        <is>
          <t>supp_unavailable</t>
        </is>
      </c>
      <c r="AH422" s="5" t="inlineStr">
        <is>
          <t>ncbi</t>
        </is>
      </c>
      <c r="AI422" s="5" t="n"/>
      <c r="AJ422" s="5" t="n"/>
      <c r="AK422" s="5" t="n"/>
      <c r="AL422" s="5" t="n">
        <v>1</v>
      </c>
    </row>
    <row r="423" ht="15" customHeight="1" s="12">
      <c r="A423" s="5" t="inlineStr">
        <is>
          <t>both</t>
        </is>
      </c>
      <c r="B423" s="5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C423" s="5" t="inlineStr">
        <is>
          <t>12;31</t>
        </is>
      </c>
      <c r="D423" s="5" t="inlineStr">
        <is>
          <t>ADV92527.1;E9LVH9</t>
        </is>
      </c>
      <c r="E423" s="5" t="n">
        <v>1</v>
      </c>
      <c r="F423" s="5" t="inlineStr">
        <is>
          <t>Ipet</t>
        </is>
      </c>
      <c r="G423" s="5" t="inlineStr">
        <is>
          <t>Alpha/Beta Hydrolase</t>
        </is>
      </c>
      <c r="H423" s="5" t="inlineStr">
        <is>
          <t>3.40.50.1820</t>
        </is>
      </c>
      <c r="I423" s="5" t="inlineStr">
        <is>
          <t>Bacteria</t>
        </is>
      </c>
      <c r="J423" s="5" t="inlineStr">
        <is>
          <t>Thermobifida cellulosilytica DSM44535;Thermobifida cellulosilytica</t>
        </is>
      </c>
      <c r="K423" s="5" t="inlineStr">
        <is>
          <t>Thc_Cut2;Thc_cut2</t>
        </is>
      </c>
      <c r="L423" s="5" t="inlineStr">
        <is>
          <t>PET;PLA</t>
        </is>
      </c>
      <c r="M423" s="5" t="inlineStr">
        <is>
          <t>EC 3.1.1.74;-</t>
        </is>
      </c>
      <c r="N423" s="5" t="inlineStr">
        <is>
          <t>Herrero Acero, 2011 Ribitsch 2017;Herrereo Acero, 2011, Ribitsch 2017</t>
        </is>
      </c>
      <c r="O423" s="5" t="inlineStr">
        <is>
          <t>ADV92571;E9LVH9</t>
        </is>
      </c>
      <c r="P423" s="5" t="inlineStr">
        <is>
          <t>ADV92527.1;-</t>
        </is>
      </c>
      <c r="Q423" s="5" t="inlineStr">
        <is>
          <t>5LUJ</t>
        </is>
      </c>
      <c r="R423" s="5" t="inlineStr">
        <is>
          <t>E9LVH9</t>
        </is>
      </c>
      <c r="S423" s="5" t="inlineStr">
        <is>
          <t>cutinase 2;Cutinase 2</t>
        </is>
      </c>
      <c r="T423" s="5" t="inlineStr">
        <is>
          <t>Thermobifida cellulosilytica</t>
        </is>
      </c>
      <c r="U423" s="5">
        <f>FALSE()</f>
        <v/>
      </c>
      <c r="V423" s="5">
        <f>TRUE()</f>
        <v/>
      </c>
      <c r="W423" s="5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X423" s="5" t="n">
        <v>2</v>
      </c>
      <c r="Y423" s="5" t="inlineStr">
        <is>
          <t>Thc_Cut2</t>
        </is>
      </c>
      <c r="Z423" s="5" t="inlineStr">
        <is>
          <t>ADV92527.1</t>
        </is>
      </c>
      <c r="AA423" s="5" t="inlineStr">
        <is>
          <t>Direct</t>
        </is>
      </c>
      <c r="AB423" s="5" t="n">
        <v>29</v>
      </c>
      <c r="AC423" s="5" t="inlineStr">
        <is>
          <t>10.1021/ma200949p; 10.1002/bit.26372</t>
        </is>
      </c>
      <c r="AD423" s="5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AE423" s="5" t="inlineStr">
        <is>
          <t>Thermobifida cellulosilytica</t>
        </is>
      </c>
      <c r="AF423" s="5" t="n">
        <v>144786</v>
      </c>
      <c r="AG423" s="5" t="inlineStr">
        <is>
          <t>supp_unavailable</t>
        </is>
      </c>
      <c r="AH423" s="5" t="inlineStr">
        <is>
          <t>ncbi</t>
        </is>
      </c>
      <c r="AI423" s="5" t="n"/>
      <c r="AJ423" s="5" t="n"/>
      <c r="AK423" s="5" t="n"/>
      <c r="AL423" s="5" t="n">
        <v>1</v>
      </c>
    </row>
    <row r="424" ht="15" customHeight="1" s="12">
      <c r="A424" s="5" t="inlineStr">
        <is>
          <t>both</t>
        </is>
      </c>
      <c r="B424" s="5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C424" s="5" t="inlineStr">
        <is>
          <t>11;30</t>
        </is>
      </c>
      <c r="D424" s="5" t="inlineStr">
        <is>
          <t>ADV92526.1;E9LVH8</t>
        </is>
      </c>
      <c r="E424" s="5" t="n">
        <v>1</v>
      </c>
      <c r="F424" s="5" t="inlineStr">
        <is>
          <t>Ipet</t>
        </is>
      </c>
      <c r="G424" s="5" t="inlineStr">
        <is>
          <t>Alpha/Beta Hydrolase</t>
        </is>
      </c>
      <c r="H424" s="5" t="inlineStr">
        <is>
          <t>3.40.50.1820</t>
        </is>
      </c>
      <c r="I424" s="5" t="inlineStr">
        <is>
          <t>Bacteria</t>
        </is>
      </c>
      <c r="J424" s="5" t="inlineStr">
        <is>
          <t>Thermobifida cellulosilytica DSM44535;Thermobifida cellulosilytica</t>
        </is>
      </c>
      <c r="K424" s="5" t="inlineStr">
        <is>
          <t>-;Thc_cut1</t>
        </is>
      </c>
      <c r="L424" s="5" t="inlineStr">
        <is>
          <t>PET; PBAT;PLA</t>
        </is>
      </c>
      <c r="M424" s="5" t="inlineStr">
        <is>
          <t>EC 3.1.1.74;-</t>
        </is>
      </c>
      <c r="N424" s="5" t="inlineStr">
        <is>
          <t>Herrero Acero, 2011; Ribitsch 2017; Perz, 2016;Herrereo Acero, 2011, Ribitsch 2017</t>
        </is>
      </c>
      <c r="O424" s="5" t="inlineStr">
        <is>
          <t>ADV92526.1;E9LVH8</t>
        </is>
      </c>
      <c r="P424" s="5" t="inlineStr">
        <is>
          <t>ADV92526.1;-</t>
        </is>
      </c>
      <c r="Q424" s="5" t="inlineStr">
        <is>
          <t>5LUI;-</t>
        </is>
      </c>
      <c r="R424" s="5" t="inlineStr">
        <is>
          <t>E9LVH8</t>
        </is>
      </c>
      <c r="S424" s="5" t="inlineStr">
        <is>
          <t>cutinase 1;Cutinase 1</t>
        </is>
      </c>
      <c r="T424" s="5" t="inlineStr">
        <is>
          <t>Thermobifida cellulosilytica</t>
        </is>
      </c>
      <c r="U424" s="5" t="inlineStr">
        <is>
          <t>False;True</t>
        </is>
      </c>
      <c r="V424" s="5">
        <f>TRUE()</f>
        <v/>
      </c>
      <c r="W424" s="5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X424" s="5" t="n">
        <v>2</v>
      </c>
      <c r="Y424" s="5" t="inlineStr">
        <is>
          <t>Thc_Cut1</t>
        </is>
      </c>
      <c r="Z424" s="5" t="inlineStr">
        <is>
          <t>ADV92526.1</t>
        </is>
      </c>
      <c r="AA424" s="5" t="inlineStr">
        <is>
          <t>Direct</t>
        </is>
      </c>
      <c r="AB424" s="5" t="n">
        <v>28</v>
      </c>
      <c r="AC424" s="5" t="inlineStr">
        <is>
          <t>10.1021/ma200949p; 10.1016/j.jbiotec.2016.02.006; 10.1016/j.nbt.2015.11.004; 10.1002/bit.26372; 10.3390/catal7110318; 10.1002/cssc.202500944</t>
        </is>
      </c>
      <c r="AD424" s="5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AE424" s="5" t="inlineStr">
        <is>
          <t>Thermobifida cellulosilytica</t>
        </is>
      </c>
      <c r="AF424" s="5" t="n">
        <v>144786</v>
      </c>
      <c r="AG424" s="5" t="inlineStr">
        <is>
          <t>supp_unavailable</t>
        </is>
      </c>
      <c r="AH424" s="5" t="inlineStr">
        <is>
          <t>ncbi</t>
        </is>
      </c>
      <c r="AI424" s="5" t="n"/>
      <c r="AJ424" s="5" t="n"/>
      <c r="AK424" s="5" t="n"/>
      <c r="AL424" s="5" t="n">
        <v>1</v>
      </c>
    </row>
    <row r="425" ht="15" customHeight="1" s="12">
      <c r="A425" s="5" t="inlineStr">
        <is>
          <t>both</t>
        </is>
      </c>
      <c r="B425" s="5" t="inlineStr">
        <is>
          <t>MANPYERGPNPTDALLEASSGPFSVSEENVSRLSASGFGGGTIYYPRENNTYGAVAISPGYTGTEASIAWLGGRIASHGFVVITIDTITTLDQPDSRAEQLNAALNHMINRASSTVRSRIDSSRLAVMGHSMGGGGTPRLASQRPDLKAAIPLTPWHLNKNRSSVTVPTLIIGADLDTIAPVATHAKPFYNSLPSSISKAYLELDGATHFAPNIPNKIIGKYSVAWLKRFVDNDTRYTQFLCPGPRDGLFGEVEEYCSTCPF</t>
        </is>
      </c>
      <c r="C425" s="5" t="n">
        <v>10</v>
      </c>
      <c r="D425" s="5" t="inlineStr">
        <is>
          <t>ADV92525.1</t>
        </is>
      </c>
      <c r="E425" s="5" t="n">
        <v>1</v>
      </c>
      <c r="F425" s="5" t="inlineStr">
        <is>
          <t>Ipet</t>
        </is>
      </c>
      <c r="G425" s="5" t="inlineStr">
        <is>
          <t>Alpha/Beta Hydrolase</t>
        </is>
      </c>
      <c r="H425" s="5" t="inlineStr">
        <is>
          <t>3.40.50.1820</t>
        </is>
      </c>
      <c r="I425" s="5" t="inlineStr">
        <is>
          <t>Bacteria</t>
        </is>
      </c>
      <c r="J425" s="5" t="inlineStr">
        <is>
          <t>Thermobifida alba DSM43185</t>
        </is>
      </c>
      <c r="K425" s="5" t="inlineStr">
        <is>
          <t>Tha_Cut1; cut1</t>
        </is>
      </c>
      <c r="L425" s="5" t="inlineStr">
        <is>
          <t>PET</t>
        </is>
      </c>
      <c r="M425" s="5" t="inlineStr">
        <is>
          <t>EC 3.1.1.74</t>
        </is>
      </c>
      <c r="N425" s="5" t="inlineStr">
        <is>
          <t>Ribitsch, 2012</t>
        </is>
      </c>
      <c r="O425" s="5" t="inlineStr">
        <is>
          <t>E9LVH7</t>
        </is>
      </c>
      <c r="P425" s="5" t="inlineStr">
        <is>
          <t>ADV92525.1</t>
        </is>
      </c>
      <c r="Q425" s="5" t="inlineStr">
        <is>
          <t>-</t>
        </is>
      </c>
      <c r="R425" s="5" t="inlineStr">
        <is>
          <t>E9LVH7</t>
        </is>
      </c>
      <c r="S425" s="5" t="inlineStr">
        <is>
          <t>cutinase 1</t>
        </is>
      </c>
      <c r="T425" s="5" t="inlineStr">
        <is>
          <t>Thermobifida alba</t>
        </is>
      </c>
      <c r="U425" s="5">
        <f>FALSE()</f>
        <v/>
      </c>
      <c r="V425" s="5">
        <f>TRUE()</f>
        <v/>
      </c>
      <c r="W425" s="5" t="inlineStr">
        <is>
          <t>MANPYERGPNPTDALLEASSGPFSVSEENVSRLSASGFGGGTIYYPRENNTYGAVAISPGYTGTEASIAWLGGRIASHGFVVITIDTITTLDQPDSRAEQLNAALNHMINRASSTVRSRIDSSRLAVMGHSMGGGGTPRLASQRPDLKAAIPLTPWHLNKNRSSVTVPTLIIGADLDTIAPVATHAKPFYNSLPSSISKAYLELDGATHFAPNIPNKIIGKYSVAWLKRFVDNDTRYTQFLCPGPRDGLFGEVEEYCSTCPF</t>
        </is>
      </c>
      <c r="X425" s="5" t="n">
        <v>1</v>
      </c>
      <c r="Y425" s="5" t="inlineStr">
        <is>
          <t>Tha_Cut1</t>
        </is>
      </c>
      <c r="Z425" s="5" t="inlineStr">
        <is>
          <t>ADV92525.1</t>
        </is>
      </c>
      <c r="AA425" s="5" t="inlineStr">
        <is>
          <t>Direct</t>
        </is>
      </c>
      <c r="AB425" s="5" t="n">
        <v>34</v>
      </c>
      <c r="AC425" s="5" t="inlineStr">
        <is>
          <t>10.3109/10242422.2012.644435</t>
        </is>
      </c>
      <c r="AD425" s="5" t="inlineStr">
        <is>
          <t>MANPYERGPNPTDALLEASSGPFSVSEENVSRLSASGFGGGTIYYPRENNTYGAVAISPGYTGTEASIAWLGGRIASHGFVVITIDTITTLDQPDSRAEQLNAALNHMINRASSTVRSRIDSSRLAVMGHSMGGGGTPRLASQRPDLKAAIPLTPWHLNKNRSSVTVPTLIIGADLDTIAPVATHAKPFYNSLPSSISKAYLELDGATHFAPNIPNKIIGKYSVAWLKRFVDNDTRYTQFLCPGPRDGLFGEVEEYCSTCPF</t>
        </is>
      </c>
      <c r="AE425" s="5" t="inlineStr">
        <is>
          <t>Thermobifida alba</t>
        </is>
      </c>
      <c r="AF425" s="5" t="n">
        <v>53522</v>
      </c>
      <c r="AG425" s="5" t="inlineStr">
        <is>
          <t>supp_unavailable</t>
        </is>
      </c>
      <c r="AH425" s="5" t="inlineStr">
        <is>
          <t>ncbi</t>
        </is>
      </c>
      <c r="AI425" s="5" t="n"/>
      <c r="AJ425" s="5" t="n"/>
      <c r="AK425" s="5" t="n"/>
      <c r="AL425" s="5" t="n">
        <v>1</v>
      </c>
    </row>
    <row r="426" ht="15" customHeight="1" s="12">
      <c r="A426" s="5" t="inlineStr">
        <is>
          <t>both</t>
        </is>
      </c>
      <c r="B426" s="5" t="inlineStr">
        <is>
          <t>MANPYERGPNPTNSSIEALRGPFRVDEERVSRLQARGFGGGTIYYPTDNNTFGAVAISPGYTGTQSSISWLGERLASHGFVVMTIDTNTTLDQPDSRASQLDAALDYMVEDSSYSVRNRIDSSRLAAMGHSMGGGGTLRLAERRPDLQAAIPLTPWHTDKTWGSVRVPTLIIGAENDTIASVRSHSEPFYNSLPGSLDKAYLELDGASHFAPNLSNTTIAKYSISWLKRFVDDDTRYTQFLCPGPSTGWGSDVEEYRSTCPF</t>
        </is>
      </c>
      <c r="C426" s="5" t="n">
        <v>16</v>
      </c>
      <c r="D426" s="5" t="inlineStr">
        <is>
          <t>AFA45122.1</t>
        </is>
      </c>
      <c r="E426" s="5" t="n">
        <v>1</v>
      </c>
      <c r="F426" s="5" t="inlineStr">
        <is>
          <t>Ipet</t>
        </is>
      </c>
      <c r="G426" s="5" t="inlineStr">
        <is>
          <t>Alpha/Beta Hydrolase</t>
        </is>
      </c>
      <c r="H426" s="5" t="inlineStr">
        <is>
          <t>3.40.50.1820</t>
        </is>
      </c>
      <c r="I426" s="5" t="inlineStr">
        <is>
          <t>Bacteria</t>
        </is>
      </c>
      <c r="J426" s="5" t="inlineStr">
        <is>
          <t>Thermobifida halotolerans</t>
        </is>
      </c>
      <c r="K426" s="5" t="inlineStr">
        <is>
          <t>Thh_Est</t>
        </is>
      </c>
      <c r="L426" s="5" t="inlineStr">
        <is>
          <t>PET</t>
        </is>
      </c>
      <c r="M426" s="5" t="inlineStr">
        <is>
          <t>EC 3.1.1.1</t>
        </is>
      </c>
      <c r="N426" s="5" t="inlineStr">
        <is>
          <t>Ribitsch, 2012</t>
        </is>
      </c>
      <c r="O426" s="5" t="inlineStr">
        <is>
          <t>H6WX58</t>
        </is>
      </c>
      <c r="P426" s="5" t="inlineStr">
        <is>
          <t>AFA45122.1</t>
        </is>
      </c>
      <c r="Q426" s="5" t="inlineStr">
        <is>
          <t>-</t>
        </is>
      </c>
      <c r="R426" s="5" t="inlineStr">
        <is>
          <t>H6WX58</t>
        </is>
      </c>
      <c r="S426" s="5" t="inlineStr">
        <is>
          <t>serine hydrolase</t>
        </is>
      </c>
      <c r="T426" s="5" t="inlineStr">
        <is>
          <t>Thermobifida halotolerans</t>
        </is>
      </c>
      <c r="U426" s="5">
        <f>FALSE()</f>
        <v/>
      </c>
      <c r="V426" s="5">
        <f>TRUE()</f>
        <v/>
      </c>
      <c r="W426" s="5" t="inlineStr">
        <is>
          <t>MANPYERGPNPTNSSIEALRGPFRVDEERVSRLQARGFGGGTIYYPTDNNTFGAVAISPGYTGTQSSISWLGERLASHGFVVMTIDTNTTLDQPDSRASQLDAALDYMVEDSSYSVRNRIDSSRLAAMGHSMGGGGTLRLAERRPDLQAAIPLTPWHTDKTWGSVRVPTLIIGAENDTIASVRSHSEPFYNSLPGSLDKAYLELDGASHFAPNLSNTTIAKYSISWLKRFVDDDTRYTQFLCPGPSTGWGSDVEEYRSTCPF</t>
        </is>
      </c>
      <c r="X426" s="5" t="n">
        <v>1</v>
      </c>
      <c r="Y426" s="5" t="inlineStr">
        <is>
          <t>Thh_Est</t>
        </is>
      </c>
      <c r="Z426" s="5" t="inlineStr">
        <is>
          <t>AFA45122.1</t>
        </is>
      </c>
      <c r="AA426" s="5" t="inlineStr">
        <is>
          <t>Direct</t>
        </is>
      </c>
      <c r="AB426" s="5" t="n">
        <v>32</v>
      </c>
      <c r="AC426" s="5" t="inlineStr">
        <is>
          <t>10.3390/polym4010617</t>
        </is>
      </c>
      <c r="AD426" s="5" t="inlineStr">
        <is>
          <t>MANPYERGPNPTNSSIEALRGPFRVDEERVSRLQARGFGGGTIYYPTDNNTFGAVAISPGYTGTQSSISWLGERLASHGFVVMTIDTNTTLDQPDSRASQLDAALDYMVEDSSYSVRNRIDSSRLAAMGHSMGGGGTLRLAERRPDLQAAIPLTPWHTDKTWGSVRVPTLIIGAENDTIASVRSHSEPFYNSLPGSLDKAYLELDGASHFAPNLSNTTIAKYSISWLKRFVDDDTRYTQFLCPGPSTGWGSDVEEYRSTCPF</t>
        </is>
      </c>
      <c r="AE426" s="5" t="inlineStr">
        <is>
          <t>Thermobifida halotolerans</t>
        </is>
      </c>
      <c r="AF426" s="5" t="n">
        <v>483545</v>
      </c>
      <c r="AG426" s="5" t="inlineStr">
        <is>
          <t>supp_unavailable</t>
        </is>
      </c>
      <c r="AH426" s="5" t="inlineStr">
        <is>
          <t>ncbi</t>
        </is>
      </c>
      <c r="AI426" s="5" t="n"/>
      <c r="AJ426" s="5" t="n"/>
      <c r="AK426" s="5" t="n"/>
      <c r="AL426" s="5" t="n">
        <v>1</v>
      </c>
    </row>
    <row r="427" ht="15" customHeight="1" s="12">
      <c r="A427" s="5" t="inlineStr">
        <is>
          <t>both</t>
        </is>
      </c>
      <c r="B427" s="5" t="inlineStr">
        <is>
          <t>MAREPTALATAAAIRSGATTARAETEAAIARIEALDGAINAVVVRDFDRALAAADAADARIQAGDTAPLLGVPMTVKEAFDVEGLPTHWGFRQHAGNIATSDAEAVRRLKAAGAIILGKTNVPKGLGDWQSVNSIHGVTNHPLDPTRTPGGSSGGSAAALASGMVPLELGSDIGGSIRIPAHFCGVWGLKPSWGAISSHGHRYPGTNGAETPLGVIGPMARSPDDLAAMLDLLATLPMPRASRPPRRVLAITDHPAIRTSAVCRDAVDTAAEALAGAGIEVIRSTDLLPDLARQHHAYGQMLSVAFARSDPTLHASLPNLLTWLSWQDAQARNTRAWGRLFGEVDAVIAPPAATQAFAHDHAPQANRTLDIDGVASPYDAHLAWAGVATYPGLPAVVVPVGTANGLPVGVQVITDFHRDHDAIATAALIHRLTEGQPA</t>
        </is>
      </c>
      <c r="C427" s="5" t="n">
        <v>190</v>
      </c>
      <c r="D427" s="5" t="inlineStr">
        <is>
          <t>WBR49956.1</t>
        </is>
      </c>
      <c r="E427" s="5" t="n">
        <v>10</v>
      </c>
      <c r="F427" s="5" t="inlineStr">
        <is>
          <t>NylA</t>
        </is>
      </c>
      <c r="G427" s="5" t="inlineStr">
        <is>
          <t>Amidase signature</t>
        </is>
      </c>
      <c r="H427" s="5" t="inlineStr">
        <is>
          <t>3.90.1300.10</t>
        </is>
      </c>
      <c r="I427" s="5" t="inlineStr">
        <is>
          <t>Bacteria</t>
        </is>
      </c>
      <c r="J427" s="5" t="inlineStr">
        <is>
          <t>Metagenome</t>
        </is>
      </c>
      <c r="K427" s="5" t="inlineStr">
        <is>
          <t>UMG-SP-1</t>
        </is>
      </c>
      <c r="L427" s="5" t="inlineStr">
        <is>
          <t>PA; PUR</t>
        </is>
      </c>
      <c r="M427" s="5" t="inlineStr">
        <is>
          <t>-</t>
        </is>
      </c>
      <c r="N427" s="5" t="inlineStr">
        <is>
          <t>Bell, 2024; Branson, 2022</t>
        </is>
      </c>
      <c r="O427" s="5" t="inlineStr">
        <is>
          <t>WBR49956</t>
        </is>
      </c>
      <c r="P427" s="5" t="inlineStr">
        <is>
          <t>WBR49956</t>
        </is>
      </c>
      <c r="Q427" s="5" t="inlineStr">
        <is>
          <t>-</t>
        </is>
      </c>
      <c r="R427" s="5" t="inlineStr">
        <is>
          <t>-</t>
        </is>
      </c>
      <c r="S427" s="5" t="inlineStr">
        <is>
          <t>urethanase</t>
        </is>
      </c>
      <c r="T427" s="5" t="inlineStr">
        <is>
          <t>uncultured bacterium</t>
        </is>
      </c>
      <c r="U427" s="5">
        <f>FALSE()</f>
        <v/>
      </c>
      <c r="V427" s="5">
        <f>TRUE()</f>
        <v/>
      </c>
      <c r="W427" s="5" t="inlineStr">
        <is>
          <t>MAREPTALATAAAIRSGATTARAETEAAIARIEALDGAINAVVVRDFDRALAAADAADARIQAGDTAPLLGVPMTVKEAFDVEGLPTHWGFRQHAGNIATSDAEAVRRLKAAGAIILGKTNVPKGLGDWQSVNSIHGVTNHPLDPTRTPGGSSGGSAAALASGMVPLELGSDIGGSIRIPAHFCGVWGLKPSWGAISSHGHRYPGTNGAETPLGVIGPMARSPDDLAAMLDLLATLPMPRASRPPRRVLAITDHPAIRTSAVCRDAVDTAAEALAGAGIEVIRSTDLLPDLARQHHAYGQMLSVAFARSDPTLHASLPNLLTWLSWQDAQARNTRAWGRLFGEVDAVIAPPAATQAFAHDHAPQANRTLDIDGVASPYDAHLAWAGVATYPGLPAVVVPVGTANGLPVGVQVITDFHRDHDAIATAALIHRLTEGQPA</t>
        </is>
      </c>
      <c r="X427" s="5" t="n">
        <v>1</v>
      </c>
      <c r="Y427" s="5" t="inlineStr">
        <is>
          <t>UMG-SP-1</t>
        </is>
      </c>
      <c r="Z427" s="5" t="inlineStr">
        <is>
          <t>OP972509</t>
        </is>
      </c>
      <c r="AA427" s="5" t="inlineStr">
        <is>
          <t>Direct</t>
        </is>
      </c>
      <c r="AB427" s="5" t="n">
        <v>155</v>
      </c>
      <c r="AC427" s="5" t="inlineStr">
        <is>
          <t>10.1002/anie.202216220; 10.1038/s41467-024-45523-5</t>
        </is>
      </c>
      <c r="AD427" s="5" t="inlineStr">
        <is>
          <t>MAREPTALATAAAIRSGATTARAETEAAIARIEALDGAINAVVVRDFDRALAAADAADARIQAGDTAPLLGVPMTVKEAFDVEGLPTHWGFRQHAGNIATSDAEAVRRLKAAGAIILGKTNVPKGLGDWQSVNSIHGVTNHPLDPTRTPGGSSGGSAAALASGMVPLELGSDIGGSIRIPAHFCGVWGLKPSWGAISSHGHRYPGTNGAETPLGVIGPMARSPDDLAAMLDLLATLPMPRASRPPRRVLAITDHPAIRTSAVCRDAVDTAAEALAGAGIEVIRSTDLLPDLARQHHAYGQMLSVAFARSDPTLHASLPNLLTWLSWQDAQARNTRAWGRLFGEVDAVIAPPAATQAFAHDHAPQANRTLDIDGVASPYDAHLAWAGVATYPGLPAVVVPVGTANGLPVGVQVITDFHRDHDAIATAALIHRLTEGQPA</t>
        </is>
      </c>
      <c r="AE427" s="5" t="inlineStr">
        <is>
          <t>Environmental sample</t>
        </is>
      </c>
      <c r="AF427" s="5" t="n"/>
      <c r="AG427" s="5" t="inlineStr">
        <is>
          <t>no_sequence</t>
        </is>
      </c>
      <c r="AH427" s="5" t="n"/>
      <c r="AI427" s="5" t="inlineStr">
        <is>
          <t>WBR49956.1</t>
        </is>
      </c>
      <c r="AJ427" s="5" t="inlineStr">
        <is>
          <t>MAREPTALATAAAIRSGATTARAETEAAIARIEALDGAINAVVVRDFDRALAAADAADARIQAGDTAPLLGVPMTVKEAFDVEGLPTHWGFRQHAGNIATSDAEAVRRLKAAGAIILGKTNVPKGLGDWQSVNSIHGVTNHPLDPTRTPGGSSGGSAAALASGMVPLELGSDIGGSIRIPAHFCGVWGLKPSWGAISSHGHRYPGTNGAETPLGVIGPMARSPDDLAAMLDLLATLPMPRASRPPRRVLAITDHPAIRTSAVCRDAVDTAAEALAGAGIEVIRSTDLLPDLARQHHAYGQMLSVAFARSDPTLHASLPNLLTWLSWQDAQARNTRAWGRLFGEVDAVIAPPAATQAFAHDHAPQANRTLDIDGVASPYDAHLAWAGVATYPGLPAVVVPVGTANGLPVGVQVITDFHRDHDAIATAALIHRLTEGQPA</t>
        </is>
      </c>
      <c r="AK427" s="5" t="inlineStr">
        <is>
          <t>Took the aa sequence for the CDS</t>
        </is>
      </c>
      <c r="AL427" s="5" t="n">
        <v>1</v>
      </c>
    </row>
    <row r="428" ht="15" customHeight="1" s="12">
      <c r="A428" s="5" t="inlineStr">
        <is>
          <t>both</t>
        </is>
      </c>
      <c r="B428" s="5" t="inlineStr">
        <is>
          <t>MAVGSMLLSMAAQA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  <c r="C428" s="5" t="n">
        <v>42</v>
      </c>
      <c r="D428" s="5" t="inlineStr">
        <is>
          <t>OGB27210.1</t>
        </is>
      </c>
      <c r="E428" s="5" t="n">
        <v>1</v>
      </c>
      <c r="F428" s="5" t="inlineStr">
        <is>
          <t>Ipet</t>
        </is>
      </c>
      <c r="G428" s="5" t="inlineStr">
        <is>
          <t>Alpha/Beta Hydrolase</t>
        </is>
      </c>
      <c r="H428" s="5" t="inlineStr">
        <is>
          <t>3.40.50.1820</t>
        </is>
      </c>
      <c r="I428" s="5" t="inlineStr">
        <is>
          <t>Bacteria</t>
        </is>
      </c>
      <c r="J428" s="5" t="inlineStr">
        <is>
          <t>Aquabacterium parvum</t>
        </is>
      </c>
      <c r="K428" s="5" t="inlineStr">
        <is>
          <t>ApLip-Ec</t>
        </is>
      </c>
      <c r="L428" s="5" t="inlineStr">
        <is>
          <t>PET</t>
        </is>
      </c>
      <c r="M428" s="5" t="inlineStr">
        <is>
          <t>-</t>
        </is>
      </c>
      <c r="N428" s="5" t="inlineStr">
        <is>
          <t>Chen, 2021; Chen, 2021;Sagong, 2022; Huang, 2023</t>
        </is>
      </c>
      <c r="O428" s="5" t="inlineStr">
        <is>
          <t>A0A1F4JXW8</t>
        </is>
      </c>
      <c r="P428" s="5" t="inlineStr">
        <is>
          <t>OGB27210</t>
        </is>
      </c>
      <c r="Q428" s="5" t="inlineStr">
        <is>
          <t>7CWG</t>
        </is>
      </c>
      <c r="R428" s="5" t="inlineStr">
        <is>
          <t>A0A1F4JXW8</t>
        </is>
      </c>
      <c r="S428" s="5" t="inlineStr">
        <is>
          <t>A3I66_11710</t>
        </is>
      </c>
      <c r="T428" s="5" t="inlineStr">
        <is>
          <t>Burkholderiales bacterium RIFCSPLOWO2_02_FULL_57_36</t>
        </is>
      </c>
      <c r="U428" s="5">
        <f>FALSE()</f>
        <v/>
      </c>
      <c r="V428" s="5">
        <f>TRUE()</f>
        <v/>
      </c>
      <c r="W428" s="5" t="inlineStr">
        <is>
          <t>MAVGSMLLSMAAQA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  <c r="X428" s="5" t="n">
        <v>1</v>
      </c>
      <c r="Y428" s="5" t="inlineStr">
        <is>
          <t>BurPL</t>
        </is>
      </c>
      <c r="Z428" s="5" t="inlineStr">
        <is>
          <t>OGB27210</t>
        </is>
      </c>
      <c r="AA428" s="5" t="inlineStr">
        <is>
          <t>Direct</t>
        </is>
      </c>
      <c r="AB428" s="5" t="n">
        <v>195</v>
      </c>
      <c r="AC428" s="5" t="inlineStr">
        <is>
          <t>10.1038/s41929-021-00616-y; 10.1016/j.jhazmat.2022.128267; 10.3390/molecules28083528</t>
        </is>
      </c>
      <c r="AD428" s="5" t="inlineStr">
        <is>
          <t>MAVGSMLLSMAAQA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  <c r="AE428" s="5" t="inlineStr">
        <is>
          <t>Burkholderiales bacterium</t>
        </is>
      </c>
      <c r="AF428" s="5" t="n">
        <v>1891238</v>
      </c>
      <c r="AG428" s="5" t="inlineStr">
        <is>
          <t>supp_unavailable</t>
        </is>
      </c>
      <c r="AH428" s="5" t="inlineStr">
        <is>
          <t>ncbi</t>
        </is>
      </c>
      <c r="AI428" s="5" t="n"/>
      <c r="AJ428" s="5" t="n"/>
      <c r="AK428" s="5" t="n"/>
      <c r="AL428" s="5" t="n">
        <v>1</v>
      </c>
    </row>
    <row r="429" ht="15" customHeight="1" s="12">
      <c r="A429" s="5" t="inlineStr">
        <is>
          <t>both</t>
        </is>
      </c>
      <c r="B429" s="5" t="inlineStr">
        <is>
          <t>MAVMTPRRERSSLLSRALQVTAAAATALVTAVSLAAPAHAANPYERGPNPTDALLEARSGPFSVSEENVSRLSASGFGGGTIYYPRENNTYGAVAISPGYTGTEASIAWLGKRIASHGFVVITIDTITTLDQPDSRAEQLNAALNHMINRASSTVRSRIDSSRLAVMGHSMGGGGSLRLASQRPDLKAAIPLTPWHLNKNWSSVRVPTLIIGADLDTIAPVLTHARPFYNSLPTSISKAYLELDGATHFAPNIPNKIIGKYSVAWLKRFVDNDTRYTQFLCPGPRDGLFGEVEEYRSTCPF</t>
        </is>
      </c>
      <c r="C429" s="5" t="n">
        <v>80</v>
      </c>
      <c r="D429" s="5" t="inlineStr">
        <is>
          <t>WP_104613137.1</t>
        </is>
      </c>
      <c r="E429" s="5" t="n">
        <v>1</v>
      </c>
      <c r="F429" s="5" t="inlineStr">
        <is>
          <t>Ipet</t>
        </is>
      </c>
      <c r="G429" s="5" t="inlineStr">
        <is>
          <t>Alpha/Beta Hydrolase</t>
        </is>
      </c>
      <c r="H429" s="5" t="inlineStr">
        <is>
          <t>3.40.50.1820</t>
        </is>
      </c>
      <c r="I429" s="5" t="inlineStr">
        <is>
          <t>Bacteria</t>
        </is>
      </c>
      <c r="J429" s="5" t="inlineStr">
        <is>
          <t>Thermobifida fusca</t>
        </is>
      </c>
      <c r="K429" s="5" t="inlineStr">
        <is>
          <t>Enzyme 701</t>
        </is>
      </c>
      <c r="L429" s="5" t="inlineStr">
        <is>
          <t>PET</t>
        </is>
      </c>
      <c r="M429" s="5" t="inlineStr">
        <is>
          <t>-</t>
        </is>
      </c>
      <c r="N429" s="5" t="inlineStr">
        <is>
          <t>Erickson, 2022</t>
        </is>
      </c>
      <c r="O429" s="5" t="inlineStr">
        <is>
          <t>WP_104613137.1</t>
        </is>
      </c>
      <c r="P429" s="5" t="inlineStr">
        <is>
          <t>WP_104613137.1</t>
        </is>
      </c>
      <c r="Q429" s="5" t="inlineStr">
        <is>
          <t>-</t>
        </is>
      </c>
      <c r="R429" s="5" t="inlineStr">
        <is>
          <t>-</t>
        </is>
      </c>
      <c r="S429" s="5" t="inlineStr">
        <is>
          <t>dienelactone hydrolase family protein</t>
        </is>
      </c>
      <c r="T429" s="5" t="inlineStr">
        <is>
          <t>Thermobifida fusca</t>
        </is>
      </c>
      <c r="U429" s="5">
        <f>FALSE()</f>
        <v/>
      </c>
      <c r="V429" s="5">
        <f>TRUE()</f>
        <v/>
      </c>
      <c r="W429" s="5" t="inlineStr">
        <is>
          <t>MAVMTPRRERSSLLSRALQVTAAAATALVTAVSLAAPAHAANPYERGPNPTDALLEARSGPFSVSEENVSRLSASGFGGGTIYYPRENNTYGAVAISPGYTGTEASIAWLGKRIASHGFVVITIDTITTLDQPDSRAEQLNAALNHMINRASSTVRSRIDSSRLAVMGHSMGGGGSLRLASQRPDLKAAIPLTPWHLNKNWSSVRVPTLIIGADLDTIAPVLTHARPFYNSLPTSISKAYLELDGATHFAPNIPNKIIGKYSVAWLKRFVDNDTRYTQFLCPGPRDGLFGEVEEYRSTCPF</t>
        </is>
      </c>
      <c r="X429" s="5" t="n">
        <v>1</v>
      </c>
      <c r="Y429" s="5" t="n">
        <v>701</v>
      </c>
      <c r="Z429" s="5" t="inlineStr">
        <is>
          <t>WP_104613137.1</t>
        </is>
      </c>
      <c r="AA429" s="5" t="inlineStr">
        <is>
          <t>Direct</t>
        </is>
      </c>
      <c r="AB429" s="5" t="n">
        <v>152</v>
      </c>
      <c r="AC429" s="5" t="inlineStr">
        <is>
          <t>10.1038/s41467-022-35237-x</t>
        </is>
      </c>
      <c r="AD429" s="5" t="inlineStr">
        <is>
          <t>MAVMTPRRERSSLLSRALQVTAAAATALVTAVSLAAPAHAANPYERGPNPTDALLEARSGPFSVSEENVSRLSASGFGGGTIYYPRENNTYGAVAISPGYTGTEASIAWLGKRIASHGFVVITIDTITTLDQPDSRAEQLNAALNHMINRASSTVRSRIDSSRLAVMGHSMGGGGSLRLASQRPDLKAAIPLTPWHLNKNWSSVRVPTLIIGADLDTIAPVLTHARPFYNSLPTSISKAYLELDGATHFAPNIPNKIIGKYSVAWLKRFVDNDTRYTQFLCPGPRDGLFGEVEEYRSTCPF</t>
        </is>
      </c>
      <c r="AE429" s="5" t="inlineStr">
        <is>
          <t>Thermobifida fusca</t>
        </is>
      </c>
      <c r="AF429" s="5" t="n">
        <v>2021</v>
      </c>
      <c r="AG429" s="5" t="inlineStr">
        <is>
          <t>supp_unavailable</t>
        </is>
      </c>
      <c r="AH429" s="5" t="inlineStr">
        <is>
          <t>ncbi</t>
        </is>
      </c>
      <c r="AI429" s="5" t="n"/>
      <c r="AJ429" s="5" t="n"/>
      <c r="AK429" s="5" t="n"/>
      <c r="AL429" s="5" t="n">
        <v>1</v>
      </c>
    </row>
    <row r="430" ht="15" customHeight="1" s="12">
      <c r="A430" s="5" t="inlineStr">
        <is>
          <t>both</t>
        </is>
      </c>
      <c r="B430" s="5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C430" s="5" t="inlineStr">
        <is>
          <t>15;44;46</t>
        </is>
      </c>
      <c r="D430" s="5" t="inlineStr">
        <is>
          <t>AET05799.1;Q47RJ6.1;Q6A0I4.1</t>
        </is>
      </c>
      <c r="E430" s="5" t="n">
        <v>1</v>
      </c>
      <c r="F430" s="5" t="inlineStr">
        <is>
          <t>Ipet</t>
        </is>
      </c>
      <c r="G430" s="5" t="inlineStr">
        <is>
          <t>Alpha/Beta Hydrolase</t>
        </is>
      </c>
      <c r="H430" s="5" t="inlineStr">
        <is>
          <t>3.40.50.1820</t>
        </is>
      </c>
      <c r="I430" s="5" t="inlineStr">
        <is>
          <t>Bacteria</t>
        </is>
      </c>
      <c r="J430" s="5" t="inlineStr">
        <is>
          <t>Thermobifida fusca NRRL B-8184;Thermobifida fusca YX;Thermobifida fusca DSM43793</t>
        </is>
      </c>
      <c r="K430" s="5" t="inlineStr">
        <is>
          <t>Cut2;WSH03-11; Tfu_0883;BTA-1; TfH</t>
        </is>
      </c>
      <c r="L430" s="5" t="inlineStr">
        <is>
          <t>PET</t>
        </is>
      </c>
      <c r="M430" s="5" t="inlineStr">
        <is>
          <t>EC 3.1.1.74</t>
        </is>
      </c>
      <c r="N430" s="5" t="inlineStr">
        <is>
          <t>Hedge, 2013;Chen, 2008; Su, 2013; Lykidis, 2007;Dresler, 2006; Müller 2005; Kleeberg 1998; 2005</t>
        </is>
      </c>
      <c r="O430" s="5" t="inlineStr">
        <is>
          <t>JN129500.1;Q47RJ6_THEFY;Q6A0I4</t>
        </is>
      </c>
      <c r="P430" s="5" t="inlineStr">
        <is>
          <t>AET05799.1;Q47RJ6;Q6A0I4</t>
        </is>
      </c>
      <c r="Q430" s="5" t="inlineStr">
        <is>
          <t>-;5ZOA</t>
        </is>
      </c>
      <c r="R430" s="5" t="inlineStr">
        <is>
          <t>Q6A0I4;Q47RJ6_THEFY</t>
        </is>
      </c>
      <c r="S430" s="5" t="inlineStr">
        <is>
          <t>cutinase;Cutinase;Acetylxylan esterase</t>
        </is>
      </c>
      <c r="T430" s="5" t="inlineStr">
        <is>
          <t>Thermobifida fusca;-</t>
        </is>
      </c>
      <c r="U430" s="5" t="inlineStr">
        <is>
          <t>True;False</t>
        </is>
      </c>
      <c r="V430" s="5">
        <f>TRUE()</f>
        <v/>
      </c>
      <c r="W430" s="5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X430" s="5" t="n">
        <v>3</v>
      </c>
      <c r="Y430" s="5" t="inlineStr">
        <is>
          <t>BTA-1;Cut2;Tfu_0883</t>
        </is>
      </c>
      <c r="Z430" s="5" t="inlineStr">
        <is>
          <t>CAH17553.1;AET05799.1;WP_011291330.1</t>
        </is>
      </c>
      <c r="AA430" s="5" t="inlineStr">
        <is>
          <t>Direct</t>
        </is>
      </c>
      <c r="AB430" s="5" t="inlineStr">
        <is>
          <t>19;27;22</t>
        </is>
      </c>
      <c r="AC430" s="5" t="inlineStr">
        <is>
          <t>10.1128/aem.64.5.1731-1735.1998; 10.1021/bm049582t; 10.1002/marc.200500410; 10.1007/s00449-006-0069-9;10.1007/s12010-013-0219-x;10.1128/jb.01899-06; 10.1074/jbc.m800848200; 10.1128/aem.00239-13</t>
        </is>
      </c>
      <c r="AD430" s="5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AE430" s="5" t="inlineStr">
        <is>
          <t>Thermobifida fusca</t>
        </is>
      </c>
      <c r="AF430" s="5" t="n">
        <v>2021</v>
      </c>
      <c r="AG430" s="5" t="inlineStr">
        <is>
          <t>supp_unavailable</t>
        </is>
      </c>
      <c r="AH430" s="5" t="inlineStr">
        <is>
          <t>ncbi</t>
        </is>
      </c>
      <c r="AI430" s="5" t="n"/>
      <c r="AJ430" s="5" t="n"/>
      <c r="AK430" s="5" t="n"/>
      <c r="AL430" s="5" t="n">
        <v>3</v>
      </c>
    </row>
    <row r="431" ht="15" customHeight="1" s="12">
      <c r="A431" s="5" t="inlineStr">
        <is>
          <t>both</t>
        </is>
      </c>
      <c r="B431" s="5" t="inlineStr">
        <is>
          <t>MAVMTPRRERSSLLSRALRFTAAAATALVTAVSLAAPAHAANPYERGPNPTDALLEARSGPFSVSEERASRFGADGFGGGTIYYPRENNTYGAVAISPGYTGTQASVAWLGKRIASHGFVVITIDTNTTLDQPDSRARQLNAALDYMINDASSAVRSRIDSSRLAVMGHSMGGGGSLRLASQRPDLKAAIPLTPWHLNKNWSSVRVPTLIIGADLDTIAPVLTHARPFYNSLPTSISKAYLELDGATHFAPNIPNKIIGKYSVAWLKRFVDNDTRYTQFLCPGPRDGLFGEVEEYRSTCPF</t>
        </is>
      </c>
      <c r="C431" s="5" t="n">
        <v>25</v>
      </c>
      <c r="D431" s="5" t="inlineStr">
        <is>
          <t>CAH17554.1</t>
        </is>
      </c>
      <c r="E431" s="5" t="n">
        <v>1</v>
      </c>
      <c r="F431" s="5" t="inlineStr">
        <is>
          <t>Ipet</t>
        </is>
      </c>
      <c r="G431" s="5" t="inlineStr">
        <is>
          <t>Alpha/Beta Hydrolase</t>
        </is>
      </c>
      <c r="H431" s="5" t="inlineStr">
        <is>
          <t>3.40.50.1820</t>
        </is>
      </c>
      <c r="I431" s="5" t="inlineStr">
        <is>
          <t>Bacteria</t>
        </is>
      </c>
      <c r="J431" s="5" t="inlineStr">
        <is>
          <t>Thermobifida fusca DSM43793</t>
        </is>
      </c>
      <c r="K431" s="5" t="inlineStr">
        <is>
          <t>BTA-2; TfH</t>
        </is>
      </c>
      <c r="L431" s="5" t="inlineStr">
        <is>
          <t>PET</t>
        </is>
      </c>
      <c r="M431" s="5" t="inlineStr">
        <is>
          <t>EC 3.1.1.74</t>
        </is>
      </c>
      <c r="N431" s="5" t="inlineStr">
        <is>
          <t>Dresler, 2006; Müller 2005; Kleeberg 1998; 2005</t>
        </is>
      </c>
      <c r="O431" s="5" t="inlineStr">
        <is>
          <t>AJ810119</t>
        </is>
      </c>
      <c r="P431" s="5" t="inlineStr">
        <is>
          <t>Q6A0I3</t>
        </is>
      </c>
      <c r="Q431" s="5" t="inlineStr">
        <is>
          <t>-</t>
        </is>
      </c>
      <c r="R431" s="5" t="inlineStr">
        <is>
          <t>Q6A0I3</t>
        </is>
      </c>
      <c r="S431" s="5" t="inlineStr">
        <is>
          <t>BTA-hydrolase 2</t>
        </is>
      </c>
      <c r="T431" s="5" t="inlineStr">
        <is>
          <t>Thermobifida fusca</t>
        </is>
      </c>
      <c r="U431" s="5">
        <f>FALSE()</f>
        <v/>
      </c>
      <c r="V431" s="5">
        <f>TRUE()</f>
        <v/>
      </c>
      <c r="W431" s="5" t="inlineStr">
        <is>
          <t>MAVMTPRRERSSLLSRALRFTAAAATALVTAVSLAAPAHAANPYERGPNPTDALLEARSGPFSVSEERASRFGADGFGGGTIYYPRENNTYGAVAISPGYTGTQASVAWLGKRIASHGFVVITIDTNTTLDQPDSRARQLNAALDYMINDASSAVRSRIDSSRLAVMGHSMGGGGSLRLASQRPDLKAAIPLTPWHLNKNWSSVRVPTLIIGADLDTIAPVLTHARPFYNSLPTSISKAYLELDGATHFAPNIPNKIIGKYSVAWLKRFVDNDTRYTQFLCPGPRDGLFGEVEEYRSTCPF</t>
        </is>
      </c>
      <c r="X431" s="5" t="n">
        <v>1</v>
      </c>
      <c r="Y431" s="5" t="inlineStr">
        <is>
          <t>BTA-2</t>
        </is>
      </c>
      <c r="Z431" s="5" t="inlineStr">
        <is>
          <t>CAH17554.1</t>
        </is>
      </c>
      <c r="AA431" s="5" t="inlineStr">
        <is>
          <t>Direct</t>
        </is>
      </c>
      <c r="AB431" s="5" t="n">
        <v>20</v>
      </c>
      <c r="AC431" s="5" t="inlineStr">
        <is>
          <t>10.1128/aem.64.5.1731-1735.1998; 10.1021/bm049582t; 10.1002/marc.200500410; 10.1007/s00449-006-0069-9</t>
        </is>
      </c>
      <c r="AD431" s="5" t="inlineStr">
        <is>
          <t>MAVMTPRRERSSLLSRALRFTAAAATALVTAVSLAAPAHAANPYERGPNPTDALLEARSGPFSVSEERASRFGADGFGGGTIYYPRENNTYGAVAISPGYTGTQASVAWLGKRIASHGFVVITIDTNTTLDQPDSRARQLNAALDYMINDASSAVRSRIDSSRLAVMGHSMGGGGSLRLASQRPDLKAAIPLTPWHLNKNWSSVRVPTLIIGADLDTIAPVLTHARPFYNSLPTSISKAYLELDGATHFAPNIPNKIIGKYSVAWLKRFVDNDTRYTQFLCPGPRDGLFGEVEEYRSTCPF</t>
        </is>
      </c>
      <c r="AE431" s="5" t="inlineStr">
        <is>
          <t>Thermobifida fusca</t>
        </is>
      </c>
      <c r="AF431" s="5" t="n">
        <v>2021</v>
      </c>
      <c r="AG431" s="5" t="inlineStr">
        <is>
          <t>supp_unavailable</t>
        </is>
      </c>
      <c r="AH431" s="5" t="inlineStr">
        <is>
          <t>ncbi</t>
        </is>
      </c>
      <c r="AI431" s="5" t="n"/>
      <c r="AJ431" s="5" t="n"/>
      <c r="AK431" s="5" t="n"/>
      <c r="AL431" s="5" t="n">
        <v>1</v>
      </c>
    </row>
    <row r="432" ht="15" customHeight="1" s="12">
      <c r="A432" s="5" t="inlineStr">
        <is>
          <t>both</t>
        </is>
      </c>
      <c r="B432" s="5" t="inlineStr">
        <is>
          <t>MDEGACSVLRSLSLRIAAVAAAVTLPLFGLVAPAEAESPYERGPDPTSASVLDNGTFSLSSTSVSSLVTGFGGGTIYYPTSTTQGTFGGVVLAPGYTASSSSYSSVARRVASHGFVVFAIDTNSRYDQPDSRGSQILAAVSYLKNSASSTVASRLDETRIAVSGHSMGGGGTLAAANQDSSIKAAVALQPWHTDKTWPGIQIPTMIIGAENDSVAPVASHSIPFYTSMTGAREKAYGEINNGDHFIANTDDDWQGRLFVTWLKRYVDDDTRYSQFLCPAPSSIYLSDYRNTCPD</t>
        </is>
      </c>
      <c r="C432" s="5" t="n">
        <v>32</v>
      </c>
      <c r="D432" s="5" t="inlineStr">
        <is>
          <t>EGD44994.1</t>
        </is>
      </c>
      <c r="E432" s="5" t="n">
        <v>1</v>
      </c>
      <c r="F432" s="5" t="inlineStr">
        <is>
          <t>Ipet</t>
        </is>
      </c>
      <c r="G432" s="5" t="inlineStr">
        <is>
          <t>Alpha/Beta Hydrolase</t>
        </is>
      </c>
      <c r="H432" s="5" t="inlineStr">
        <is>
          <t>3.40.50.1820</t>
        </is>
      </c>
      <c r="I432" s="5" t="inlineStr">
        <is>
          <t>Bacteria</t>
        </is>
      </c>
      <c r="J432" s="5" t="inlineStr">
        <is>
          <t>Nocardioidaceae bacterium</t>
        </is>
      </c>
      <c r="K432" s="5" t="inlineStr">
        <is>
          <t>Enzyme 503 like</t>
        </is>
      </c>
      <c r="L432" s="5" t="inlineStr">
        <is>
          <t>PET</t>
        </is>
      </c>
      <c r="M432" s="5" t="inlineStr">
        <is>
          <t>-</t>
        </is>
      </c>
      <c r="N432" s="5" t="inlineStr">
        <is>
          <t>Erickson, 2022</t>
        </is>
      </c>
      <c r="O432" s="5" t="inlineStr">
        <is>
          <t>EGD44994.1</t>
        </is>
      </c>
      <c r="P432" s="5" t="inlineStr">
        <is>
          <t>EGD44994.1</t>
        </is>
      </c>
      <c r="Q432" s="5" t="inlineStr">
        <is>
          <t>-</t>
        </is>
      </c>
      <c r="R432" s="5" t="inlineStr">
        <is>
          <t>E9UPM2</t>
        </is>
      </c>
      <c r="S432" s="5" t="inlineStr">
        <is>
          <t>lipase 1 (Triacylglycerol lipase)</t>
        </is>
      </c>
      <c r="T432" s="5" t="inlineStr">
        <is>
          <t>Nocardioidaceae bacterium Broad-1</t>
        </is>
      </c>
      <c r="U432" s="5">
        <f>TRUE()</f>
        <v/>
      </c>
      <c r="V432" s="5">
        <f>TRUE()</f>
        <v/>
      </c>
      <c r="W432" s="5" t="inlineStr">
        <is>
          <t>MDEGACSVLRSLSLRIAAVAAAVTLPLFGLVAPAEAESPYERGPDPTSASVLDNGTFSLSSTSVSSLVTGFGGGTIYYPTSTTQGTFGGVVLAPGYTASSSSYSSVARRVASHGFVVFAIDTNSRYDQPDSRGSQILAAVSYLKNSASSTVASRLDETRIAVSGHSMGGGGTLAAANQDSSIKAAVALQPWHTDKTWPGIQIPTMIIGAENDSVAPVASHSIPFYTSMTGAREKAYGEINNGDHFIANTDDDWQGRLFVTWLKRYVDDDTRYSQFLCPAPSSIYLSDYRNTCPD</t>
        </is>
      </c>
      <c r="X432" s="5" t="n">
        <v>1</v>
      </c>
      <c r="Y432" s="5" t="n">
        <v>503</v>
      </c>
      <c r="Z432" s="5" t="inlineStr">
        <is>
          <t>EGD44994.1</t>
        </is>
      </c>
      <c r="AA432" s="5" t="inlineStr">
        <is>
          <t>Direct</t>
        </is>
      </c>
      <c r="AB432" s="5" t="n">
        <v>147</v>
      </c>
      <c r="AC432" s="5" t="inlineStr">
        <is>
          <t>10.1038/s41467-022-35237-x</t>
        </is>
      </c>
      <c r="AD432" s="5" t="inlineStr">
        <is>
          <t>MDEGACSVLRSLSLRIAAVAAAVTLPLFGLVAPAEAESPYERGPDPTSASVLDNGTFSLSSTSVSSLVTGFGGGTIYYPTSTTQGTFGGVVLAPGYTASSSSYSSVARRVASHGFVVFAIDTNSRYDQPDSRGSQILAAVSYLKNSASSTVASRLDETRIAVSGHSMGGGGTLAAANQDSSIKAAVALQPWHTDKTWPGIQIPTMIIGAENDSVAPVASHSIPFYTSMTGAREKAYGEINNGDHFIANTDDDWQGRLFVTWLKRYVDDDTRYSQFLCPAPSSIYLSDYRNTCPD</t>
        </is>
      </c>
      <c r="AE432" s="5" t="inlineStr">
        <is>
          <t>Nocardioidaceae bacterium</t>
        </is>
      </c>
      <c r="AF432" s="5" t="n">
        <v>1871072</v>
      </c>
      <c r="AG432" s="5" t="inlineStr">
        <is>
          <t>supp_unavailable</t>
        </is>
      </c>
      <c r="AH432" s="5" t="inlineStr">
        <is>
          <t>ncbi</t>
        </is>
      </c>
      <c r="AI432" s="5" t="n"/>
      <c r="AJ432" s="5" t="n"/>
      <c r="AK432" s="5" t="n"/>
      <c r="AL432" s="5" t="n">
        <v>1</v>
      </c>
    </row>
    <row r="433" ht="15" customHeight="1" s="12">
      <c r="A433" s="5" t="inlineStr">
        <is>
          <t>both</t>
        </is>
      </c>
      <c r="B433" s="5" t="inlineStr">
        <is>
          <t>MDENYPVLPGADSFFIKGNEIGILISHGFNGTPQSVRFLGRAMASDGFTVCAPRLKGHGTHYLDMERCTYKDWIDSLEEGYQLLKRHCRDIFVIGQSMGGTLALHLAEKHPDIRGMVCINAAIQSIPELEKCLAKGRYIQEGPPDIKAAGVHEIAYEKVPAASIRELLSVMRETRENLSAIHCPALFFQSTEDHVVPPENTDYIAAHILASRKKIIPLRNSYHVATMDHEKEWIAAQCSSFVQEIAHIESRTEI</t>
        </is>
      </c>
      <c r="C433" s="5" t="n">
        <v>65</v>
      </c>
      <c r="D433" s="5" t="inlineStr">
        <is>
          <t>WP_013858543.1</t>
        </is>
      </c>
      <c r="E433" s="5" t="n">
        <v>1</v>
      </c>
      <c r="F433" s="5" t="inlineStr">
        <is>
          <t>Ipet</t>
        </is>
      </c>
      <c r="G433" s="5" t="inlineStr">
        <is>
          <t>Alpha/Beta Hydrolase</t>
        </is>
      </c>
      <c r="H433" s="5" t="inlineStr">
        <is>
          <t>3.40.50.1820</t>
        </is>
      </c>
      <c r="I433" s="5" t="inlineStr">
        <is>
          <t>Bacteria</t>
        </is>
      </c>
      <c r="J433" s="5" t="inlineStr">
        <is>
          <t>Heyndrickxia coagulans</t>
        </is>
      </c>
      <c r="K433" s="5" t="inlineStr">
        <is>
          <t>HG-4</t>
        </is>
      </c>
      <c r="L433" s="5" t="inlineStr">
        <is>
          <t>PET</t>
        </is>
      </c>
      <c r="M433" s="5" t="inlineStr">
        <is>
          <t>-</t>
        </is>
      </c>
      <c r="N433" s="5" t="inlineStr">
        <is>
          <t>Zhou, 2024</t>
        </is>
      </c>
      <c r="O433" s="5" t="inlineStr">
        <is>
          <t>WP_013858543.1</t>
        </is>
      </c>
      <c r="P433" s="5" t="inlineStr">
        <is>
          <t>WP_013858543.1</t>
        </is>
      </c>
      <c r="Q433" s="5" t="inlineStr">
        <is>
          <t>-</t>
        </is>
      </c>
      <c r="R433" s="5" t="inlineStr">
        <is>
          <t>A0A150JTB6</t>
        </is>
      </c>
      <c r="S433" s="5" t="inlineStr">
        <is>
          <t>carboxylesterase</t>
        </is>
      </c>
      <c r="T433" s="5" t="inlineStr">
        <is>
          <t>Heyndrickxia</t>
        </is>
      </c>
      <c r="U433" s="5">
        <f>TRUE()</f>
        <v/>
      </c>
      <c r="V433" s="5">
        <f>TRUE()</f>
        <v/>
      </c>
      <c r="W433" s="5" t="inlineStr">
        <is>
          <t>MDENYPVLPGADSFFIKGNEIGILISHGFNGTPQSVRFLGRAMASDGFTVCAPRLKGHGTHYLDMERCTYKDWIDSLEEGYQLLKRHCRDIFVIGQSMGGTLALHLAEKHPDIRGMVCINAAIQSIPELEKCLAKGRYIQEGPPDIKAAGVHEIAYEKVPAASIRELLSVMRETRENLSAIHCPALFFQSTEDHVVPPENTDYIAAHILASRKKIIPLRNSYHVATMDHEKEWIAAQCSSFVQEIAHIESRTEI</t>
        </is>
      </c>
      <c r="X433" s="5" t="n">
        <v>1</v>
      </c>
      <c r="Y433" s="5" t="inlineStr">
        <is>
          <t>HG-4</t>
        </is>
      </c>
      <c r="Z433" s="5" t="inlineStr">
        <is>
          <t>WP_013858543.1</t>
        </is>
      </c>
      <c r="AA433" s="5" t="inlineStr">
        <is>
          <t>Direct</t>
        </is>
      </c>
      <c r="AB433" s="5" t="n">
        <v>225</v>
      </c>
      <c r="AC433" s="5" t="inlineStr">
        <is>
          <t>10.3390/microorganisms12010138</t>
        </is>
      </c>
      <c r="AD433" s="5" t="inlineStr">
        <is>
          <t>MDENYPVLPGADSFFIKGNEIGILISHGFNGTPQSVRFLGRAMASDGFTVCAPRLKGHGTHYLDMERCTYKDWIDSLEEGYQLLKRHCRDIFVIGQSMGGTLALHLAEKHPDIRGMVCINAAIQSIPELEKCLAKGRYIQEGPPDIKAAGVHEIAYEKVPAASIRELLSVMRETRENLSAIHCPALFFQSTEDHVVPPENTDYIAAHILASRKKIIPLRNSYHVATMDHEKEWIAAQCSSFVQEIAHIESRTEI</t>
        </is>
      </c>
      <c r="AE433" s="5" t="inlineStr">
        <is>
          <t>Heyndrickxia coagulans</t>
        </is>
      </c>
      <c r="AF433" s="5" t="n">
        <v>1398</v>
      </c>
      <c r="AG433" s="5" t="inlineStr">
        <is>
          <t>supp_unavailable</t>
        </is>
      </c>
      <c r="AH433" s="5" t="inlineStr">
        <is>
          <t>ncbi</t>
        </is>
      </c>
      <c r="AI433" s="5" t="n"/>
      <c r="AJ433" s="5" t="n"/>
      <c r="AK433" s="5" t="n"/>
      <c r="AL433" s="5" t="n">
        <v>1</v>
      </c>
    </row>
    <row r="434" ht="15" customHeight="1" s="12">
      <c r="A434" s="5" t="inlineStr">
        <is>
          <t>both</t>
        </is>
      </c>
      <c r="B434" s="5" t="inlineStr">
        <is>
          <t>MDNPYERGPDPTTQSVEAARGPYAVSQITVGGQFGSYSGGTIYYPTSTADGKFGAVAIAPGFLSFQSSVAWLGPRLASQGFVVMTIDTGTIFDQPAQRGDQLLDALDFLTQRSSVKDRIDPNRLAVAGWSMGGGGSLEAAADRPSLKAAIPMAGWNLNTNWSRLTTPVLVVGVQNDLIAPVGSHSEPFYNSIRSEKAYLELAGGSHFTVTSANTPQAKLMISWLKRFVDNDTRYEQFICPGPSRGFSVSEYRSTCPF</t>
        </is>
      </c>
      <c r="C434" s="5" t="n">
        <v>56</v>
      </c>
      <c r="D434" s="5" t="inlineStr">
        <is>
          <t>SAY37587.1</t>
        </is>
      </c>
      <c r="E434" s="5" t="n">
        <v>1</v>
      </c>
      <c r="F434" s="5" t="inlineStr">
        <is>
          <t>Ipet</t>
        </is>
      </c>
      <c r="G434" s="5" t="inlineStr">
        <is>
          <t>Alpha/Beta Hydrolase</t>
        </is>
      </c>
      <c r="H434" s="5" t="inlineStr">
        <is>
          <t>3.40.50.1820</t>
        </is>
      </c>
      <c r="I434" s="5" t="inlineStr">
        <is>
          <t>Metagenome</t>
        </is>
      </c>
      <c r="J434" s="5" t="inlineStr">
        <is>
          <t>Compost metagenome</t>
        </is>
      </c>
      <c r="K434" s="5" t="inlineStr">
        <is>
          <t>PHL-51</t>
        </is>
      </c>
      <c r="L434" s="5" t="inlineStr">
        <is>
          <t>PET</t>
        </is>
      </c>
      <c r="M434" s="5" t="inlineStr">
        <is>
          <t>-</t>
        </is>
      </c>
      <c r="N434" s="5" t="inlineStr">
        <is>
          <t>Sonnendecker, 2022</t>
        </is>
      </c>
      <c r="O434" s="5" t="inlineStr">
        <is>
          <t>SAY37587.1</t>
        </is>
      </c>
      <c r="P434" s="5" t="inlineStr">
        <is>
          <t>SAY37587.1</t>
        </is>
      </c>
      <c r="Q434" s="5" t="inlineStr">
        <is>
          <t>-</t>
        </is>
      </c>
      <c r="R434" s="5" t="inlineStr">
        <is>
          <t>-</t>
        </is>
      </c>
      <c r="S434" s="5" t="inlineStr">
        <is>
          <t>Hydrolase 5</t>
        </is>
      </c>
      <c r="T434" s="5" t="inlineStr">
        <is>
          <t>compost metagenome</t>
        </is>
      </c>
      <c r="U434" s="5">
        <f>FALSE()</f>
        <v/>
      </c>
      <c r="V434" s="5">
        <f>TRUE()</f>
        <v/>
      </c>
      <c r="W434" s="5" t="inlineStr">
        <is>
          <t>MDNPYERGPDPTTQSVEAARGPYAVSQITVGGQFGSYSGGTIYYPTSTADGKFGAVAIAPGFLSFQSSVAWLGPRLASQGFVVMTIDTGTIFDQPAQRGDQLLDALDFLTQRSSVKDRIDPNRLAVAGWSMGGGGSLEAAADRPSLKAAIPMAGWNLNTNWSRLTTPVLVVGVQNDLIAPVGSHSEPFYNSIRSEKAYLELAGGSHFTVTSANTPQAKLMISWLKRFVDNDTRYEQFICPGPSRGFSVSEYRSTCPF</t>
        </is>
      </c>
      <c r="X434" s="5" t="n">
        <v>1</v>
      </c>
      <c r="Y434" s="5" t="inlineStr">
        <is>
          <t>PHL-5</t>
        </is>
      </c>
      <c r="Z434" s="5" t="inlineStr">
        <is>
          <t>SAY37587</t>
        </is>
      </c>
      <c r="AA434" s="5" t="inlineStr">
        <is>
          <t>Direct</t>
        </is>
      </c>
      <c r="AB434" s="5" t="n">
        <v>175</v>
      </c>
      <c r="AC434" s="5" t="inlineStr">
        <is>
          <t>10.1002/cssc.202101062</t>
        </is>
      </c>
      <c r="AD434" s="5" t="inlineStr">
        <is>
          <t>MDNPYERGPDPTTQSVEAARGPYAVSQITVGGQFGSYSGGTIYYPTSTADGKFGAVAIAPGFLSFQSSVAWLGPRLASQGFVVMTIDTGTIFDQPAQRGDQLLDALDFLTQRSSVKDRIDPNRLAVAGWSMGGGGSLEAAADRPSLKAAIPMAGWNLNTNWSRLTTPVLVVGVQNDLIAPVGSHSEPFYNSIRSEKAYLELAGGSHFTVTSANTPQAKLMISWLKRFVDNDTRYEQFICPGPSRGFSVSEYRSTCPF</t>
        </is>
      </c>
      <c r="AE434" s="5" t="inlineStr">
        <is>
          <t>Compost metagenome</t>
        </is>
      </c>
      <c r="AF434" s="5" t="n"/>
      <c r="AG434" s="5" t="inlineStr">
        <is>
          <t>supp_unavailable</t>
        </is>
      </c>
      <c r="AH434" s="5" t="inlineStr">
        <is>
          <t>ncbi</t>
        </is>
      </c>
      <c r="AI434" s="5" t="n"/>
      <c r="AJ434" s="5" t="n"/>
      <c r="AK434" s="5" t="n"/>
      <c r="AL434" s="5" t="n">
        <v>1</v>
      </c>
    </row>
    <row r="435" ht="15" customHeight="1" s="12">
      <c r="A435" s="5" t="inlineStr">
        <is>
          <t>both</t>
        </is>
      </c>
      <c r="B435" s="5" t="inlineStr">
        <is>
          <t>MIKPVTFMSEGEQIIGVLHVPDDLRGDKRAPAIAMFHGFTGNKSEAHRLFVHVARSLCNDGFVVLRFDFRGSGDSDGEFEDMTVPGEVCDASRSIDFLSELNFVDSERIGVLGLSMGGRVAAILASKDRRIKFVILYSAALTPLRRKFLEGLEKESIRRLEMGEAVHVGNGWYLKKGFFETVDSIVPLDVLDRIRVPVLIIHGDSDSVIPLDGALKGYEIIRDLNDKNELYIVRGGDHVFTRREHTIEVIERTLDWLRSLNL</t>
        </is>
      </c>
      <c r="C435" s="5" t="n">
        <v>49</v>
      </c>
      <c r="D435" s="5" t="inlineStr">
        <is>
          <t>RLI42440.1</t>
        </is>
      </c>
      <c r="E435" s="5" t="n">
        <v>1</v>
      </c>
      <c r="F435" s="5" t="inlineStr">
        <is>
          <t>Ipet</t>
        </is>
      </c>
      <c r="G435" s="5" t="inlineStr">
        <is>
          <t>Alpha/Beta Hydrolase</t>
        </is>
      </c>
      <c r="H435" s="5" t="inlineStr">
        <is>
          <t>3.40.50.1820</t>
        </is>
      </c>
      <c r="I435" s="5" t="inlineStr">
        <is>
          <t>Archaea</t>
        </is>
      </c>
      <c r="J435" s="5" t="inlineStr">
        <is>
          <t>Candidatus Bathyarchaeota archaeon</t>
        </is>
      </c>
      <c r="K435" s="5" t="inlineStr">
        <is>
          <t>PET46</t>
        </is>
      </c>
      <c r="L435" s="5" t="inlineStr">
        <is>
          <t>PET</t>
        </is>
      </c>
      <c r="M435" s="5" t="inlineStr">
        <is>
          <t>EC 3.1.1.73</t>
        </is>
      </c>
      <c r="N435" s="5" t="inlineStr">
        <is>
          <t>Perez-Garcia, 2023</t>
        </is>
      </c>
      <c r="O435" s="5" t="inlineStr">
        <is>
          <t>RLI42440.1</t>
        </is>
      </c>
      <c r="P435" s="5" t="inlineStr">
        <is>
          <t>RLI42440.1</t>
        </is>
      </c>
      <c r="Q435" s="5" t="inlineStr">
        <is>
          <t>8B4U</t>
        </is>
      </c>
      <c r="R435" s="5" t="inlineStr">
        <is>
          <t>A0A497NK85</t>
        </is>
      </c>
      <c r="S435" s="5" t="inlineStr">
        <is>
          <t>alpha/beta hydrolase</t>
        </is>
      </c>
      <c r="T435" s="5" t="inlineStr">
        <is>
          <t>Candidatus Bathyarchaeota archaeon</t>
        </is>
      </c>
      <c r="U435" s="5">
        <f>FALSE()</f>
        <v/>
      </c>
      <c r="V435" s="5">
        <f>TRUE()</f>
        <v/>
      </c>
      <c r="W435" s="5" t="inlineStr">
        <is>
          <t>MIKPVTFMSEGEQIIGVLHVPDDLRGDKRAPAIAMFHGFTGNKSEAHRLFVHVARSLCNDGFVVLRFDFRGSGDSDGEFEDMTVPGEVCDASRSIDFLSELNFVDSERIGVLGLSMGGRVAAILASKDRRIKFVILYSAALTPLRRKFLEGLEKESIRRLEMGEAVHVGNGWYLKKGFFETVDSIVPLDVLDRIRVPVLIIHGDSDSVIPLDGALKGYEIIRDLNDKNELYIVRGGDHVFTRREHTIEVIERTLDWLRSLNL</t>
        </is>
      </c>
      <c r="X435" s="5" t="n">
        <v>1</v>
      </c>
      <c r="Y435" s="5" t="inlineStr">
        <is>
          <t>PET46</t>
        </is>
      </c>
      <c r="Z435" s="5" t="inlineStr">
        <is>
          <t>RLI42440.1</t>
        </is>
      </c>
      <c r="AA435" s="5" t="inlineStr">
        <is>
          <t>Direct</t>
        </is>
      </c>
      <c r="AB435" s="5" t="n">
        <v>41</v>
      </c>
      <c r="AC435" s="5" t="inlineStr">
        <is>
          <t>10.1038/s42004-023-00998-z</t>
        </is>
      </c>
      <c r="AD435" s="5" t="inlineStr">
        <is>
          <t>MIKPVTFMSEGEQIIGVLHVPDDLRGDKRAPAIAMFHGFTGNKSEAHRLFVHVARSLCNDGFVVLRFDFRGSGDSDGEFEDMTVPGEVCDASRSIDFLSELNFVDSERIGVLGLSMGGRVAAILASKDRRIKFVILYSAALTPLRRKFLEGLEKESIRRLEMGEAVHVGNGWYLKKGFFETVDSIVPLDVLDRIRVPVLIIHGDSDSVIPLDGALKGYEIIRDLNDKNELYIVRGGDHVFTRREHTIEVIERTLDWLRSLNL</t>
        </is>
      </c>
      <c r="AE435" s="5" t="inlineStr">
        <is>
          <t>Candidatus Bathyarchaeota archaeon</t>
        </is>
      </c>
      <c r="AF435" s="5" t="n">
        <v>2026714</v>
      </c>
      <c r="AG435" s="5" t="inlineStr">
        <is>
          <t>supp_unavailable</t>
        </is>
      </c>
      <c r="AH435" s="5" t="inlineStr">
        <is>
          <t>ncbi</t>
        </is>
      </c>
      <c r="AI435" s="5" t="n"/>
      <c r="AJ435" s="5" t="n"/>
      <c r="AK435" s="5" t="n"/>
      <c r="AL435" s="5" t="n">
        <v>1</v>
      </c>
    </row>
    <row r="436" ht="15" customHeight="1" s="12">
      <c r="A436" s="5" t="inlineStr">
        <is>
          <t>both</t>
        </is>
      </c>
      <c r="B436" s="5" t="inlineStr">
        <is>
          <t>MINKKLSQTLLSMAAAGALMFSASVFATNPPTDEPTNPGQSYERGPDPTVAFLEASSGPYSVRTSRVSGLVSGFGGGTIHYPTGTTGTMAAIVVIPGFVSAESSIDWWGPKLASHGFVVMTIDTNTGFDQPPSRARQINNALDYLVDQNSSRTSPVNGMIDTERLGVIGWSMGGGGTLRVASEGRIKAAIPLAPWDTTRFSGVQAPTLIFACESDLIAPVRSHASPFYNQLPNDIDKAYVEINNGSHYCANGGGLNNDVLSRFGVSWMKRFLDNDTRYSQFLCGPRHESDRKISEYRGNCPY</t>
        </is>
      </c>
      <c r="C436" s="5" t="n">
        <v>68</v>
      </c>
      <c r="D436" s="5" t="inlineStr">
        <is>
          <t>WP_044499735.1</t>
        </is>
      </c>
      <c r="E436" s="5" t="n">
        <v>1</v>
      </c>
      <c r="F436" s="5" t="inlineStr">
        <is>
          <t>Ipet</t>
        </is>
      </c>
      <c r="G436" s="5" t="inlineStr">
        <is>
          <t>Alpha/Beta Hydrolase</t>
        </is>
      </c>
      <c r="H436" s="5" t="inlineStr">
        <is>
          <t>3.40.50.1820</t>
        </is>
      </c>
      <c r="I436" s="5" t="inlineStr">
        <is>
          <t>Bacteria</t>
        </is>
      </c>
      <c r="J436" s="5" t="inlineStr">
        <is>
          <t>Pseudomonas  mendocina ATCC 53552</t>
        </is>
      </c>
      <c r="K436" s="5" t="inlineStr">
        <is>
          <t>PmC</t>
        </is>
      </c>
      <c r="L436" s="5" t="inlineStr">
        <is>
          <t>PET</t>
        </is>
      </c>
      <c r="M436" s="5" t="inlineStr">
        <is>
          <t>EC 3.1.1.1</t>
        </is>
      </c>
      <c r="N436" s="5" t="inlineStr">
        <is>
          <t>Avilan, 2023</t>
        </is>
      </c>
      <c r="O436" s="5" t="inlineStr">
        <is>
          <t>A0A078MGG8</t>
        </is>
      </c>
      <c r="P436" s="5" t="inlineStr">
        <is>
          <t>WP_044499735.1</t>
        </is>
      </c>
      <c r="Q436" s="5" t="inlineStr">
        <is>
          <t>8AIS</t>
        </is>
      </c>
      <c r="R436" s="5" t="inlineStr">
        <is>
          <t>A0A078MGG8</t>
        </is>
      </c>
      <c r="S436" s="5" t="inlineStr">
        <is>
          <t>dienelactone hydrolase family protein</t>
        </is>
      </c>
      <c r="T436" s="5" t="inlineStr">
        <is>
          <t>Pseudomonas saudimassiliensis</t>
        </is>
      </c>
      <c r="U436" s="5">
        <f>FALSE()</f>
        <v/>
      </c>
      <c r="V436" s="5">
        <f>TRUE()</f>
        <v/>
      </c>
      <c r="W436" s="5" t="inlineStr">
        <is>
          <t>MINKKLSQTLLSMAAAGALMFSASVFATNPPTDEPTNPGQSYERGPDPTVAFLEASSGPYSVRTSRVSGLVSGFGGGTIHYPTGTTGTMAAIVVIPGFVSAESSIDWWGPKLASHGFVVMTIDTNTGFDQPPSRARQINNALDYLVDQNSSRTSPVNGMIDTERLGVIGWSMGGGGTLRVASEGRIKAAIPLAPWDTTRFSGVQAPTLIFACESDLIAPVRSHASPFYNQLPNDIDKAYVEINNGSHYCANGGGLNNDVLSRFGVSWMKRFLDNDTRYSQFLCGPRHESDRKISEYRGNCPY</t>
        </is>
      </c>
      <c r="X436" s="5" t="n">
        <v>1</v>
      </c>
      <c r="Y436" s="5" t="inlineStr">
        <is>
          <t>PsCut</t>
        </is>
      </c>
      <c r="Z436" s="5" t="inlineStr">
        <is>
          <t>WP_044499735.1</t>
        </is>
      </c>
      <c r="AA436" s="5" t="inlineStr">
        <is>
          <t>Direct</t>
        </is>
      </c>
      <c r="AB436" s="5" t="n">
        <v>179</v>
      </c>
      <c r="AC436" s="5" t="inlineStr">
        <is>
          <t>10.1002/cssc.202202277</t>
        </is>
      </c>
      <c r="AD436" s="5" t="inlineStr">
        <is>
          <t>MINKKLSQTLLSMAAAGALMFSASVFATNPPTDEPTNPGQSYERGPDPTVAFLEASSGPYSVRTSRVSGLVSGFGGGTIHYPTGTTGTMAAIVVIPGFVSAESSIDWWGPKLASHGFVVMTIDTNTGFDQPPSRARQINNALDYLVDQNSSRTSPVNGMIDTERLGVIGWSMGGGGTLRVASEGRIKAAIPLAPWDTTRFSGVQAPTLIFACESDLIAPVRSHASPFYNQLPNDIDKAYVEINNGSHYCANGGGLNNDVLSRFGVSWMKRFLDNDTRYSQFLCGPRHESDRKISEYRGNCPY</t>
        </is>
      </c>
      <c r="AE436" s="5" t="inlineStr">
        <is>
          <t>Pseudomonas saudimassiliensis</t>
        </is>
      </c>
      <c r="AF436" s="5" t="n">
        <v>1461581</v>
      </c>
      <c r="AG436" s="5" t="inlineStr">
        <is>
          <t>supp_unavailable</t>
        </is>
      </c>
      <c r="AH436" s="5" t="inlineStr">
        <is>
          <t>ncbi</t>
        </is>
      </c>
      <c r="AI436" s="5" t="n"/>
      <c r="AJ436" s="5" t="n"/>
      <c r="AK436" s="5" t="n"/>
      <c r="AL436" s="5" t="n">
        <v>1</v>
      </c>
    </row>
    <row r="437" ht="15" customHeight="1" s="12">
      <c r="A437" s="5" t="inlineStr">
        <is>
          <t>both</t>
        </is>
      </c>
      <c r="B437" s="5" t="inlineStr">
        <is>
          <t>MINKNLSQSLLAMMAAGALLLSSSAFAVNPPTDGPTDPDQ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  <c r="C437" s="5" t="n">
        <v>66</v>
      </c>
      <c r="D437" s="5" t="inlineStr">
        <is>
          <t>WP_036989706.1</t>
        </is>
      </c>
      <c r="E437" s="5" t="n">
        <v>1</v>
      </c>
      <c r="F437" s="5" t="inlineStr">
        <is>
          <t>Ipet</t>
        </is>
      </c>
      <c r="G437" s="5" t="inlineStr">
        <is>
          <t>Alpha/Beta Hydrolase</t>
        </is>
      </c>
      <c r="H437" s="5" t="inlineStr">
        <is>
          <t>3.40.50.1820</t>
        </is>
      </c>
      <c r="I437" s="5" t="inlineStr">
        <is>
          <t>Bacteria</t>
        </is>
      </c>
      <c r="J437" s="5" t="inlineStr">
        <is>
          <t>Pseudomonas saudimassiliensis</t>
        </is>
      </c>
      <c r="K437" s="5" t="inlineStr">
        <is>
          <t>PsCut</t>
        </is>
      </c>
      <c r="L437" s="5" t="inlineStr">
        <is>
          <t>PET</t>
        </is>
      </c>
      <c r="M437" s="5" t="inlineStr">
        <is>
          <t>EC 3.1.1.1</t>
        </is>
      </c>
      <c r="N437" s="5" t="inlineStr">
        <is>
          <t>Avilan, 2023</t>
        </is>
      </c>
      <c r="O437" s="5" t="inlineStr">
        <is>
          <t>A0A031MKR8</t>
        </is>
      </c>
      <c r="P437" s="5" t="inlineStr">
        <is>
          <t>WP_036989706.1</t>
        </is>
      </c>
      <c r="Q437" s="5" t="inlineStr">
        <is>
          <t>8AIT</t>
        </is>
      </c>
      <c r="R437" s="5" t="inlineStr">
        <is>
          <t>A0A031MKR8</t>
        </is>
      </c>
      <c r="S437" s="5" t="inlineStr">
        <is>
          <t>dienelactone hydrolase family protein</t>
        </is>
      </c>
      <c r="T437" s="5" t="inlineStr">
        <is>
          <t>Halopseudomonas</t>
        </is>
      </c>
      <c r="U437" s="5">
        <f>FALSE()</f>
        <v/>
      </c>
      <c r="V437" s="5">
        <f>TRUE()</f>
        <v/>
      </c>
      <c r="W437" s="5" t="inlineStr">
        <is>
          <t>MINKNLSQSLLAMMAAGALLLSSSAFAVNPPTDGPTDPDQ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  <c r="X437" s="5" t="n">
        <v>1</v>
      </c>
      <c r="Y437" s="5" t="inlineStr">
        <is>
          <t>PbauzCut</t>
        </is>
      </c>
      <c r="Z437" s="5" t="inlineStr">
        <is>
          <t>WP_036989706.1</t>
        </is>
      </c>
      <c r="AA437" s="5" t="inlineStr">
        <is>
          <t>Direct</t>
        </is>
      </c>
      <c r="AB437" s="5" t="n">
        <v>180</v>
      </c>
      <c r="AC437" s="5" t="inlineStr">
        <is>
          <t>10.1002/cssc.202202277</t>
        </is>
      </c>
      <c r="AD437" s="5" t="inlineStr">
        <is>
          <t>MINKNLSQSLLAMMAAGALLLSSSAFAVNPPTDGPTDPDQ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  <c r="AE437" s="5" t="inlineStr">
        <is>
          <t>Halopseudomonas bauzanensis</t>
        </is>
      </c>
      <c r="AF437" s="5" t="n">
        <v>653930</v>
      </c>
      <c r="AG437" s="5" t="inlineStr">
        <is>
          <t>supp_unavailable</t>
        </is>
      </c>
      <c r="AH437" s="5" t="inlineStr">
        <is>
          <t>ncbi</t>
        </is>
      </c>
      <c r="AI437" s="5" t="n"/>
      <c r="AJ437" s="5" t="n"/>
      <c r="AK437" s="5" t="n"/>
      <c r="AL437" s="5" t="n">
        <v>1</v>
      </c>
    </row>
    <row r="438" ht="15" customHeight="1" s="12">
      <c r="A438" s="5" t="inlineStr">
        <is>
          <t>both</t>
        </is>
      </c>
      <c r="B438" s="5" t="inlineStr">
        <is>
          <t>MLYQLHEFQRSILHPLTAWAQATAKTFTNPLSPLSLVPGAPRLAAGYELLYRLGKEYEKPAFDIKSVRSNGRDIPIVEQTVLEKPFCKLVRFKRYADDPETIKLLKDEPVVLVAAPLSGHHATLLRDTVRTLLQDHKVYVTDWIDARMVPVEEGAFHLSDYIYYIQEFIRHIGAENLHVISVCQPTVPVLAAISLMASAGEKTPRTMTMMGGPIDARKSPTAVNSLATNKSFEWFENNVIYTVPANYPGHGRRVYPGFLQHAGFVAMNPDRHLSSHYDFYLSLVEGDADDAEAHVRFYDEYNAVLDMAAEYYLDTIREVFQEFRLANGTWAIDGNPVRPQDIKSTALMTVEGELDDISGAGQTAAAHDLCAGIPKIRKQHLNAAHCGHYGIFSGRRWREEIYPQLRDFIRKYHQASATR</t>
        </is>
      </c>
      <c r="C438" s="5" t="n">
        <v>159</v>
      </c>
      <c r="D438" s="5" t="inlineStr">
        <is>
          <t>Q0KCI0</t>
        </is>
      </c>
      <c r="E438" s="5" t="n">
        <v>3</v>
      </c>
      <c r="F438" s="5" t="inlineStr">
        <is>
          <t>PhaZ</t>
        </is>
      </c>
      <c r="G438" s="5" t="inlineStr">
        <is>
          <t>Alpha/Beta Hydrolase</t>
        </is>
      </c>
      <c r="H438" s="5" t="inlineStr">
        <is>
          <t>3.40.50.1820</t>
        </is>
      </c>
      <c r="I438" s="5" t="inlineStr">
        <is>
          <t>Bacteria</t>
        </is>
      </c>
      <c r="J438" s="5" t="inlineStr">
        <is>
          <t>Cuprivadus necator ATC17699</t>
        </is>
      </c>
      <c r="K438" s="5" t="inlineStr">
        <is>
          <t>PhaZ1</t>
        </is>
      </c>
      <c r="L438" s="5" t="inlineStr">
        <is>
          <t>PHA</t>
        </is>
      </c>
      <c r="M438" s="5" t="inlineStr">
        <is>
          <t>-</t>
        </is>
      </c>
      <c r="N438" s="5" t="inlineStr">
        <is>
          <t>Handrick, 2000, Saegusa, 2001</t>
        </is>
      </c>
      <c r="O438" s="5" t="inlineStr">
        <is>
          <t>Q0KCI0</t>
        </is>
      </c>
      <c r="P438" s="5" t="inlineStr">
        <is>
          <t>Q0KCI0</t>
        </is>
      </c>
      <c r="Q438" s="5" t="inlineStr">
        <is>
          <t>-</t>
        </is>
      </c>
      <c r="R438" s="5" t="inlineStr">
        <is>
          <t>Q0KCI0</t>
        </is>
      </c>
      <c r="S438" s="5" t="inlineStr">
        <is>
          <t>poly(3-hydroxybutyrate) depolymerase</t>
        </is>
      </c>
      <c r="T438" s="5" t="inlineStr">
        <is>
          <t>Cupriavidus necator H16</t>
        </is>
      </c>
      <c r="U438" s="5">
        <f>FALSE()</f>
        <v/>
      </c>
      <c r="V438" s="5">
        <f>TRUE()</f>
        <v/>
      </c>
      <c r="W438" s="5" t="inlineStr">
        <is>
          <t>MLYQLHEFQRSILHPLTAWAQATAKTFTNPLSPLSLVPGAPRLAAGYELLYRLGKEYEKPAFDIKSVRSNGRDIPIVEQTVLEKPFCKLVRFKRYADDPETIKLLKDEPVVLVAAPLSGHHATLLRDTVRTLLQDHKVYVTDWIDARMVPVEEGAFHLSDYIYYIQEFIRHIGAENLHVISVCQPTVPVLAAISLMASAGEKTPRTMTMMGGPIDARKSPTAVNSLATNKSFEWFENNVIYTVPANYPGHGRRVYPGFLQHAGFVAMNPDRHLSSHYDFYLSLVEGDADDAEAHVRFYDEYNAVLDMAAEYYLDTIREVFQEFRLANGTWAIDGNPVRPQDIKSTALMTVEGELDDISGAGQTAAAHDLCAGIPKIRKQHLNAAHCGHYGIFSGRRWREEIYPQLRDFIRKYHQASATR</t>
        </is>
      </c>
      <c r="X438" s="5" t="n">
        <v>1</v>
      </c>
      <c r="Y438" s="5" t="inlineStr">
        <is>
          <t>PhaZ1</t>
        </is>
      </c>
      <c r="Z438" s="5" t="inlineStr">
        <is>
          <t>WP_011614907.1</t>
        </is>
      </c>
      <c r="AA438" s="5" t="inlineStr">
        <is>
          <t>Direct</t>
        </is>
      </c>
      <c r="AB438" s="5" t="n">
        <v>100</v>
      </c>
      <c r="AC438" s="5" t="inlineStr">
        <is>
          <t>10.1128/jb.182.20.5916-5918.2000; 10.1128/jb.183.1.94-100.2001</t>
        </is>
      </c>
      <c r="AD438" s="5" t="inlineStr">
        <is>
          <t>MLYQLHEFQRSILHPLTAWAQATAKTFTNPLSPLSLVPGAPRLAAGYELLYRLGKEYEKPAFDIKSVRSNGRDIPIVEQTVLEKPFCKLVRFKRYADDPETIKLLKDEPVVLVAAPLSGHHATLLRDTVRTLLQDHKVYVTDWIDARMVPVEEGAFHLSDYIYYIQEFIRHIGAENLHVISVCQPTVPVLAAISLMASAGEKTPRTMTMMGGPIDARKSPTAVNSLATNKSFEWFENNVIYTVPANYPGHGRRVYPGFLQHAGFVAMNPDRHLSSHYDFYLSLVEGDADDAEAHVRFYDEYNAVLDMAAEYYLDTIREVFQEFRLANGTWAIDGNPVRPQDIKSTALMTVEGELDDISGAGQTAAAHDLCAGIPKIRKQHLNAAHCGHYGIFSGRRWREEIYPQLRDFIRKYHQASATR</t>
        </is>
      </c>
      <c r="AE438" s="5" t="inlineStr">
        <is>
          <t>Cupriavidus necator</t>
        </is>
      </c>
      <c r="AF438" s="5" t="n">
        <v>106590</v>
      </c>
      <c r="AG438" s="5" t="inlineStr">
        <is>
          <t>supp_unavailable</t>
        </is>
      </c>
      <c r="AH438" s="5" t="inlineStr">
        <is>
          <t>ncbi</t>
        </is>
      </c>
      <c r="AI438" s="5" t="n"/>
      <c r="AJ438" s="5" t="n"/>
      <c r="AK438" s="5" t="n"/>
      <c r="AL438" s="5" t="n">
        <v>1</v>
      </c>
    </row>
    <row r="439" ht="15" customHeight="1" s="12">
      <c r="A439" s="5" t="inlineStr">
        <is>
          <t>both</t>
        </is>
      </c>
      <c r="B439" s="5" t="inlineStr">
        <is>
          <t>MLYQLVEYQRALLAPFTAWAASAANAFIDPASPFAYVPGASCFAAGYEMLYRLGRTCEKPSFGIITAIRRDGHVIAVAEQVIVEGPFCRLLRFAPDMGALDPCTAPTPPVLVCAPLAGHHAVMLREVVQALLPEHVVYVTDWNDARRVPVAEGPFHLDDQVAHLQAFIRRIGAEPLHVLAICQATVPALAAVSLLASAGEPTPRSLILVGGPVDARRSPTALGRLAARHSLAWFQRNLIYAVPQPYPGAGRKVCPSFLQLAGLAAAQPERLGEAYWDYCLDLVRCDPVRAKEHRRACDAYHAVLDMAAEFYLDTIQLVFQEFQLARGSWQVRGEAVRPQDIRTTALLTIEGEQDEISGRGQTQAAHDLCQGIAACDKRHLTARQCGHYDLFCGPRWCTDVYPRIRDLTGHDT</t>
        </is>
      </c>
      <c r="C439" s="5" t="n">
        <v>157</v>
      </c>
      <c r="D439" s="5" t="inlineStr">
        <is>
          <t>Q0K4D5</t>
        </is>
      </c>
      <c r="E439" s="5" t="n">
        <v>3</v>
      </c>
      <c r="F439" s="5" t="inlineStr">
        <is>
          <t>PhaZ</t>
        </is>
      </c>
      <c r="G439" s="5" t="inlineStr">
        <is>
          <t>Alpha/Beta Hydrolase</t>
        </is>
      </c>
      <c r="H439" s="5" t="inlineStr">
        <is>
          <t>3.40.50.1820</t>
        </is>
      </c>
      <c r="I439" s="5" t="inlineStr">
        <is>
          <t>Bacteria</t>
        </is>
      </c>
      <c r="J439" s="5" t="inlineStr">
        <is>
          <t>Cuprivadus necator ATC17699</t>
        </is>
      </c>
      <c r="K439" s="5" t="inlineStr">
        <is>
          <t>PhaZ3</t>
        </is>
      </c>
      <c r="L439" s="5" t="inlineStr">
        <is>
          <t>PHA</t>
        </is>
      </c>
      <c r="M439" s="5" t="inlineStr">
        <is>
          <t>-</t>
        </is>
      </c>
      <c r="N439" s="5" t="inlineStr">
        <is>
          <t>York, 2003, Brigham,2012</t>
        </is>
      </c>
      <c r="O439" s="5" t="inlineStr">
        <is>
          <t>Q0K4D5</t>
        </is>
      </c>
      <c r="P439" s="5" t="inlineStr">
        <is>
          <t>Q0K4D5</t>
        </is>
      </c>
      <c r="Q439" s="5" t="inlineStr">
        <is>
          <t>-</t>
        </is>
      </c>
      <c r="R439" s="5" t="inlineStr">
        <is>
          <t>Q0K4D5</t>
        </is>
      </c>
      <c r="S439" s="5" t="inlineStr">
        <is>
          <t>poly(3-hydroxybutyrate) depolymerase</t>
        </is>
      </c>
      <c r="T439" s="5" t="inlineStr">
        <is>
          <t>Cupriavidus necator H16</t>
        </is>
      </c>
      <c r="U439" s="5">
        <f>FALSE()</f>
        <v/>
      </c>
      <c r="V439" s="5">
        <f>TRUE()</f>
        <v/>
      </c>
      <c r="W439" s="5" t="inlineStr">
        <is>
          <t>MLYQLVEYQRALLAPFTAWAASAANAFIDPASPFAYVPGASCFAAGYEMLYRLGRTCEKPSFGIITAIRRDGHVIAVAEQVIVEGPFCRLLRFAPDMGALDPCTAPTPPVLVCAPLAGHHAVMLREVVQALLPEHVVYVTDWNDARRVPVAEGPFHLDDQVAHLQAFIRRIGAEPLHVLAICQATVPALAAVSLLASAGEPTPRSLILVGGPVDARRSPTALGRLAARHSLAWFQRNLIYAVPQPYPGAGRKVCPSFLQLAGLAAAQPERLGEAYWDYCLDLVRCDPVRAKEHRRACDAYHAVLDMAAEFYLDTIQLVFQEFQLARGSWQVRGEAVRPQDIRTTALLTIEGEQDEISGRGQTQAAHDLCQGIAACDKRHLTARQCGHYDLFCGPRWCTDVYPRIRDLTGHDT</t>
        </is>
      </c>
      <c r="X439" s="5" t="n">
        <v>1</v>
      </c>
      <c r="Y439" s="5" t="inlineStr">
        <is>
          <t>PhaZ3</t>
        </is>
      </c>
      <c r="Z439" s="5" t="inlineStr">
        <is>
          <t>WP_011616504.1</t>
        </is>
      </c>
      <c r="AA439" s="5" t="inlineStr">
        <is>
          <t>Direct</t>
        </is>
      </c>
      <c r="AB439" s="5" t="n">
        <v>102</v>
      </c>
      <c r="AC439" s="5" t="inlineStr">
        <is>
          <t>10.1128%2FJB.185.13.3788-3794.2003; 10.1186/2191-0855-2-26</t>
        </is>
      </c>
      <c r="AD439" s="5" t="inlineStr">
        <is>
          <t>MLYQLVEYQRALLAPFTAWAASAANAFIDPASPFAYVPGASCFAAGYEMLYRLGRTCEKPSFGIITAIRRDGHVIAVAEQVIVEGPFCRLLRFAPDMGALDPCTAPTPPVLVCAPLAGHHAVMLREVVQALLPEHVVYVTDWNDARRVPVAEGPFHLDDQVAHLQAFIRRIGAEPLHVLAICQATVPALAAVSLLASAGEPTPRSLILVGGPVDARRSPTALGRLAARHSLAWFQRNLIYAVPQPYPGAGRKVCPSFLQLAGLAAAQPERLGEAYWDYCLDLVRCDPVRAKEHRRACDAYHAVLDMAAEFYLDTIQLVFQEFQLARGSWQVRGEAVRPQDIRTTALLTIEGEQDEISGRGQTQAAHDLCQGIAACDKRHLTARQCGHYDLFCGPRWCTDVYPRIRDLTGHDT</t>
        </is>
      </c>
      <c r="AE439" s="5" t="inlineStr">
        <is>
          <t>Cupriavidus necator</t>
        </is>
      </c>
      <c r="AF439" s="5" t="n">
        <v>106590</v>
      </c>
      <c r="AG439" s="5" t="inlineStr">
        <is>
          <t>supp_unavailable</t>
        </is>
      </c>
      <c r="AH439" s="5" t="inlineStr">
        <is>
          <t>ncbi</t>
        </is>
      </c>
      <c r="AI439" s="5" t="n"/>
      <c r="AJ439" s="5" t="n"/>
      <c r="AK439" s="5" t="n"/>
      <c r="AL439" s="5" t="n">
        <v>1</v>
      </c>
    </row>
    <row r="440" ht="15" customHeight="1" s="12">
      <c r="A440" s="5" t="inlineStr">
        <is>
          <t>both</t>
        </is>
      </c>
      <c r="B440" s="5" t="inlineStr">
        <is>
          <t>MMNVLTKCKLALGIIAIFFSLPSFAVPCSDCSNGFERGQVPRVDQLESSRGPYSVKTINVSRLARGFGGGTIHYSTESGGQQGIIAVVPGYVSLEGSIKWWGPRLASWGFTVITIDTNTIYDQPDSRASQLSAAIDYVIDKGNDRSSPIYGLVDPNRVGVIGWSMGGGGSLKLATDRKIDAVIPQAPWYLGLSRFSSITSPTMIIACQADVVAPVSVHASRFYNQIPGTTPKAYFEIALGSHFCANTGYPSEDILGRNGVAWMKRFIDKDERYTQFLCGQNFDSSLRVSEYRDNCSYY</t>
        </is>
      </c>
      <c r="C440" s="5" t="n">
        <v>20</v>
      </c>
      <c r="D440" s="5" t="inlineStr">
        <is>
          <t>ASA57064.1</t>
        </is>
      </c>
      <c r="E440" s="5" t="n">
        <v>1</v>
      </c>
      <c r="F440" s="5" t="inlineStr">
        <is>
          <t>Ipet</t>
        </is>
      </c>
      <c r="G440" s="5" t="inlineStr">
        <is>
          <t>Alpha/Beta Hydrolase</t>
        </is>
      </c>
      <c r="H440" s="5" t="inlineStr">
        <is>
          <t>3.40.50.1820</t>
        </is>
      </c>
      <c r="I440" s="5" t="inlineStr">
        <is>
          <t>Bacteria</t>
        </is>
      </c>
      <c r="J440" s="5" t="inlineStr">
        <is>
          <t>Oleispira antarctica RB-8</t>
        </is>
      </c>
      <c r="K440" s="5" t="inlineStr">
        <is>
          <t>PET5; LipA</t>
        </is>
      </c>
      <c r="L440" s="5" t="inlineStr">
        <is>
          <t>PET</t>
        </is>
      </c>
      <c r="M440" s="5" t="inlineStr">
        <is>
          <t>EC 3.1.1.1</t>
        </is>
      </c>
      <c r="N440" s="5" t="inlineStr">
        <is>
          <t>Danso, 2018</t>
        </is>
      </c>
      <c r="O440" s="5" t="inlineStr">
        <is>
          <t>A0A1Z2SIQ1_VIBGA</t>
        </is>
      </c>
      <c r="P440" s="5" t="inlineStr">
        <is>
          <t>ASA57064.1</t>
        </is>
      </c>
      <c r="Q440" s="5" t="inlineStr">
        <is>
          <t>7Z6B</t>
        </is>
      </c>
      <c r="R440" s="5" t="inlineStr">
        <is>
          <t>A0A1Z2SIQ1_VIBGA</t>
        </is>
      </c>
      <c r="S440" s="5" t="inlineStr">
        <is>
          <t>hypothetical protein BSQ33_03270</t>
        </is>
      </c>
      <c r="T440" s="5" t="inlineStr">
        <is>
          <t>Vibrio gazogenes</t>
        </is>
      </c>
      <c r="U440" s="5">
        <f>FALSE()</f>
        <v/>
      </c>
      <c r="V440" s="5">
        <f>TRUE()</f>
        <v/>
      </c>
      <c r="W440" s="5" t="inlineStr">
        <is>
          <t>MMNVLTKCKLALGIIAIFFSLPSFAVPCSDCSNGFERGQVPRVDQLESSRGPYSVKTINVSRLARGFGGGTIHYSTESGGQQGIIAVVPGYVSLEGSIKWWGPRLASWGFTVITIDTNTIYDQPDSRASQLSAAIDYVIDKGNDRSSPIYGLVDPNRVGVIGWSMGGGGSLKLATDRKIDAVIPQAPWYLGLSRFSSITSPTMIIACQADVVAPVSVHASRFYNQIPGTTPKAYFEIALGSHFCANTGYPSEDILGRNGVAWMKRFIDKDERYTQFLCGQNFDSSLRVSEYRDNCSYY</t>
        </is>
      </c>
      <c r="X440" s="5" t="n">
        <v>1</v>
      </c>
      <c r="Y440" s="5" t="inlineStr">
        <is>
          <t>PET6</t>
        </is>
      </c>
      <c r="Z440" s="5" t="inlineStr">
        <is>
          <t>ASA57064.1</t>
        </is>
      </c>
      <c r="AA440" s="5" t="inlineStr">
        <is>
          <t>Direct</t>
        </is>
      </c>
      <c r="AB440" s="5" t="n">
        <v>3</v>
      </c>
      <c r="AC440" s="5" t="inlineStr">
        <is>
          <t>10.1128/aem.02773-17</t>
        </is>
      </c>
      <c r="AD440" s="5" t="inlineStr">
        <is>
          <t>MMNVLTKCKLALGIIAIFFSLPSFAVPCSDCSNGFERGQVPRVDQLESSRGPYSVKTINVSRLARGFGGGTIHYSTESGGQQGIIAVVPGYVSLEGSIKWWGPRLASWGFTVITIDTNTIYDQPDSRASQLSAAIDYVIDKGNDRSSPIYGLVDPNRVGVIGWSMGGGGSLKLATDRKIDAVIPQAPWYLGLSRFSSITSPTMIIACQADVVAPVSVHASRFYNQIPGTTPKAYFEIALGSHFCANTGYPSEDILGRNGVAWMKRFIDKDERYTQFLCGQNFDSSLRVSEYRDNCSYY</t>
        </is>
      </c>
      <c r="AE440" s="5" t="inlineStr">
        <is>
          <t>Vibrio gazogenes</t>
        </is>
      </c>
      <c r="AF440" s="5" t="n">
        <v>687</v>
      </c>
      <c r="AG440" s="5" t="inlineStr">
        <is>
          <t>supp_unavailable</t>
        </is>
      </c>
      <c r="AH440" s="5" t="inlineStr">
        <is>
          <t>ncbi</t>
        </is>
      </c>
      <c r="AI440" s="5" t="n"/>
      <c r="AJ440" s="5" t="n"/>
      <c r="AK440" s="5" t="n"/>
      <c r="AL440" s="5" t="n">
        <v>1</v>
      </c>
    </row>
    <row r="441" ht="15" customHeight="1" s="12">
      <c r="A441" s="5" t="inlineStr">
        <is>
          <t>both</t>
        </is>
      </c>
      <c r="B441" s="5" t="inlineStr">
        <is>
          <t>MNAKTPFTTPEDVGLSSTRLARLPAHFGEYVKRGKLAGVSTLVSRAGKIAHFETVGERDRENGLAMEKDTIFRIYSMSKPITSVALMMLYEEGRFQLSHEVARYIPSFANLKVWDGGTSDEYKTKPCERPMTIRDLLTHTSGLTYGFMHAHPVDKIYRKRGIDGAATANGMNLEVFCDALSEIPLLFSPGTQWSYSVATDVCGRLVEILSGQSLDVFFQSRIFDPLGMVDTGFVVPKDKLTRFAANYEKDPRTREVRLFDTSDETSTYASAKPFLSGGGGLVSTMVDYWRFCQMFLNGGELEGVRLLSRKTVDYMTLNHLPGGKTMPEMDQSAFSETGSEGTGFGLGFSVIIDEADAQAVTSAGNHSWGGAASTYFWIDPEEDLIGILMTQLMPSRAYPLRPQMQQLVYGAIED</t>
        </is>
      </c>
      <c r="C441" s="5" t="n">
        <v>172</v>
      </c>
      <c r="D441" s="5" t="inlineStr">
        <is>
          <t>AHG30919.1</t>
        </is>
      </c>
      <c r="E441" s="5" t="n">
        <v>41</v>
      </c>
      <c r="F441" s="5" t="inlineStr">
        <is>
          <t>NylB</t>
        </is>
      </c>
      <c r="G441" s="5" t="inlineStr">
        <is>
          <t xml:space="preserve">DD-peptidase/beta-lactamase </t>
        </is>
      </c>
      <c r="H441" s="5" t="inlineStr">
        <is>
          <t>3.40.710.10</t>
        </is>
      </c>
      <c r="I441" s="5" t="inlineStr">
        <is>
          <t>Metagenome</t>
        </is>
      </c>
      <c r="J441" s="5" t="inlineStr">
        <is>
          <t>Marine metagenome</t>
        </is>
      </c>
      <c r="K441" s="5" t="inlineStr">
        <is>
          <t>MGS0010 (KF801579)</t>
        </is>
      </c>
      <c r="L441" s="5" t="inlineStr">
        <is>
          <t>PLA</t>
        </is>
      </c>
      <c r="M441" s="5" t="inlineStr">
        <is>
          <t>EC 3.1.1.1</t>
        </is>
      </c>
      <c r="N441" s="5" t="inlineStr">
        <is>
          <t>Tchigvintsev, 2015</t>
        </is>
      </c>
      <c r="O441" s="5" t="inlineStr">
        <is>
          <t>AHG30919.1</t>
        </is>
      </c>
      <c r="P441" s="5" t="inlineStr">
        <is>
          <t>AHG30919.1</t>
        </is>
      </c>
      <c r="Q441" s="5" t="inlineStr">
        <is>
          <t>-</t>
        </is>
      </c>
      <c r="R441" s="5" t="inlineStr">
        <is>
          <t>W0M2H4</t>
        </is>
      </c>
      <c r="S441" s="5" t="inlineStr">
        <is>
          <t>hypothetical protein</t>
        </is>
      </c>
      <c r="T441" s="5" t="inlineStr">
        <is>
          <t>gamma proteobacterium enrichment culture clone L-Tri-Mess-8_orf1</t>
        </is>
      </c>
      <c r="U441" s="5">
        <f>FALSE()</f>
        <v/>
      </c>
      <c r="V441" s="5">
        <f>TRUE()</f>
        <v/>
      </c>
      <c r="W441" s="5" t="inlineStr">
        <is>
          <t>MNAKTPFTTPEDVGLSSTRLARLPAHFGEYVKRGKLAGVSTLVSRAGKIAHFETVGERDRENGLAMEKDTIFRIYSMSKPITSVALMMLYEEGRFQLSHEVARYIPSFANLKVWDGGTSDEYKTKPCERPMTIRDLLTHTSGLTYGFMHAHPVDKIYRKRGIDGAATANGMNLEVFCDALSEIPLLFSPGTQWSYSVATDVCGRLVEILSGQSLDVFFQSRIFDPLGMVDTGFVVPKDKLTRFAANYEKDPRTREVRLFDTSDETSTYASAKPFLSGGGGLVSTMVDYWRFCQMFLNGGELEGVRLLSRKTVDYMTLNHLPGGKTMPEMDQSAFSETGSEGTGFGLGFSVIIDEADAQAVTSAGNHSWGGAASTYFWIDPEEDLIGILMTQLMPSRAYPLRPQMQQLVYGAIED</t>
        </is>
      </c>
      <c r="X441" s="5" t="n">
        <v>1</v>
      </c>
      <c r="Y441" s="5" t="inlineStr">
        <is>
          <t>MGS0010</t>
        </is>
      </c>
      <c r="Z441" s="5" t="inlineStr">
        <is>
          <t>AHG30919.1</t>
        </is>
      </c>
      <c r="AA441" s="5" t="inlineStr">
        <is>
          <t>Direct</t>
        </is>
      </c>
      <c r="AB441" s="5" t="n">
        <v>83</v>
      </c>
      <c r="AC441" s="5" t="inlineStr">
        <is>
          <t>10.1007/s00253-014-6038-3</t>
        </is>
      </c>
      <c r="AD441" s="5" t="inlineStr">
        <is>
          <t>MNAKTPFTTPEDVGLSSTRLARLPAHFGEYVKRGKLAGVSTLVSRAGKIAHFETVGERDRENGLAMEKDTIFRIYSMSKPITSVALMMLYEEGRFQLSHEVARYIPSFANLKVWDGGTSDEYKTKPCERPMTIRDLLTHTSGLTYGFMHAHPVDKIYRKRGIDGAATANGMNLEVFCDALSEIPLLFSPGTQWSYSVATDVCGRLVEILSGQSLDVFFQSRIFDPLGMVDTGFVVPKDKLTRFAANYEKDPRTREVRLFDTSDETSTYASAKPFLSGGGGLVSTMVDYWRFCQMFLNGGELEGVRLLSRKTVDYMTLNHLPGGKTMPEMDQSAFSETGSEGTGFGLGFSVIIDEADAQAVTSAGNHSWGGAASTYFWIDPEEDLIGILMTQLMPSRAYPLRPQMQQLVYGAIED</t>
        </is>
      </c>
      <c r="AE441" s="5" t="inlineStr">
        <is>
          <t>Marine metagenome</t>
        </is>
      </c>
      <c r="AF441" s="5" t="n"/>
      <c r="AG441" s="5" t="inlineStr">
        <is>
          <t>supp_unavailable</t>
        </is>
      </c>
      <c r="AH441" s="5" t="inlineStr">
        <is>
          <t>ncbi</t>
        </is>
      </c>
      <c r="AI441" s="5" t="n"/>
      <c r="AJ441" s="5" t="n"/>
      <c r="AK441" s="5" t="n"/>
      <c r="AL441" s="5" t="n">
        <v>1</v>
      </c>
    </row>
    <row r="442" ht="15" customHeight="1" s="12">
      <c r="A442" s="5" t="inlineStr">
        <is>
          <t>both</t>
        </is>
      </c>
      <c r="B442" s="5" t="inlineStr">
        <is>
          <t>MNARSTGQHPARYPGAAAGEPTLDSWQEAPHNRWAFARLGELLPTAAVSRRDPATPAEPVVRLDALATRLPDLEQRLEETCTDAFLVLRGSEVLAEYYRAGFAPDDRHLLMSVSKSLCGTVVGALIDEGRIDPAQPVTEYVPELAGSVYDGPSVLQVLDMQISIDYNEDYVDPASEVQTHDRSAGWRTRRDGDPADTYEFLTTLRGDGGTGEFQYCSANTDVLAWIVERVTGLRYVEALSTYLWAKLDADRDATITVDQTGFGFANGGVSCTARDLARVGRMMLDGGVAPGGRVVSQGWVESVLAGGSREAMTDEGFTSAFPEGSYTRQWWCTGNERGNVSGIGIHGQNLWLDPRTDSVIVKLSSWPDPDTRHWHGLQSGILLDVSRALDAV</t>
        </is>
      </c>
      <c r="C442" s="5" t="n">
        <v>173</v>
      </c>
      <c r="D442" s="5" t="inlineStr">
        <is>
          <t>P07061.1</t>
        </is>
      </c>
      <c r="E442" s="5" t="n">
        <v>42</v>
      </c>
      <c r="F442" s="5" t="inlineStr">
        <is>
          <t>NylB</t>
        </is>
      </c>
      <c r="G442" s="5" t="inlineStr">
        <is>
          <t xml:space="preserve">DD-peptidase/beta-lactamase </t>
        </is>
      </c>
      <c r="H442" s="5" t="inlineStr">
        <is>
          <t>3.40.710.10</t>
        </is>
      </c>
      <c r="I442" s="5" t="inlineStr">
        <is>
          <t>Bacteria</t>
        </is>
      </c>
      <c r="J442" s="5" t="inlineStr">
        <is>
          <t>Paenarthrobacter ureafaciens K172</t>
        </is>
      </c>
      <c r="K442" s="5" t="inlineStr">
        <is>
          <t>NylB</t>
        </is>
      </c>
      <c r="L442" s="5" t="inlineStr">
        <is>
          <t>PA</t>
        </is>
      </c>
      <c r="M442" s="5" t="inlineStr">
        <is>
          <t>-</t>
        </is>
      </c>
      <c r="N442" s="5" t="inlineStr">
        <is>
          <t>Kinoshita, 1975;Negoro, 1992; Bell, 2024</t>
        </is>
      </c>
      <c r="O442" s="5" t="inlineStr">
        <is>
          <t>NYLB_FLASK</t>
        </is>
      </c>
      <c r="P442" s="5" t="inlineStr">
        <is>
          <t>P07061.1</t>
        </is>
      </c>
      <c r="Q442" s="5" t="inlineStr">
        <is>
          <t>2ZLY</t>
        </is>
      </c>
      <c r="R442" s="5" t="inlineStr">
        <is>
          <t>NYLB_FLASK</t>
        </is>
      </c>
      <c r="S442" s="5" t="inlineStr">
        <is>
          <t>6-aminohexanoate-dimer hydrolase</t>
        </is>
      </c>
      <c r="T442" s="5" t="inlineStr">
        <is>
          <t>-</t>
        </is>
      </c>
      <c r="U442" s="5">
        <f>FALSE()</f>
        <v/>
      </c>
      <c r="V442" s="5">
        <f>TRUE()</f>
        <v/>
      </c>
      <c r="W442" s="5" t="inlineStr">
        <is>
          <t>MNARSTGQHPARYPGAAAGEPTLDSWQEAPHNRWAFARLGELLPTAAVSRRDPATPAEPVVRLDALATRLPDLEQRLEETCTDAFLVLRGSEVLAEYYRAGFAPDDRHLLMSVSKSLCGTVVGALIDEGRIDPAQPVTEYVPELAGSVYDGPSVLQVLDMQISIDYNEDYVDPASEVQTHDRSAGWRTRRDGDPADTYEFLTTLRGDGGTGEFQYCSANTDVLAWIVERVTGLRYVEALSTYLWAKLDADRDATITVDQTGFGFANGGVSCTARDLARVGRMMLDGGVAPGGRVVSQGWVESVLAGGSREAMTDEGFTSAFPEGSYTRQWWCTGNERGNVSGIGIHGQNLWLDPRTDSVIVKLSSWPDPDTRHWHGLQSGILLDVSRALDAV</t>
        </is>
      </c>
      <c r="X442" s="5" t="n">
        <v>1</v>
      </c>
      <c r="Y442" s="5" t="inlineStr">
        <is>
          <t>NylB</t>
        </is>
      </c>
      <c r="Z442" s="5" t="inlineStr">
        <is>
          <t>CAA24927.1</t>
        </is>
      </c>
      <c r="AA442" s="5" t="inlineStr">
        <is>
          <t>Direct</t>
        </is>
      </c>
      <c r="AB442" s="5" t="n">
        <v>60</v>
      </c>
      <c r="AC442" s="5" t="inlineStr">
        <is>
          <t>10.1128/jb.174.24.7948-7953.1992; 10.1038/s41467-024-45523-5</t>
        </is>
      </c>
      <c r="AD442" s="5" t="inlineStr">
        <is>
          <t>MNARSTGQHPARYPGAAAGEPTLDSWQEAPHNRWAFARLGELLPTAAVSRRDPATPAEPVVRLDALATRLPDLEQRLEETCTDAFLVLRGSEVLAEYYRAGFAPDDRHLLMSVSKSLCGTVVGALIDEGRIDPAQPVTEYVPELAGSVYDGPSVLQVLDMQISIDYNEDYVDPASEVQTHDRSAGWRTRRDGDPADTYEFLTTLRGDGGTGEFQYCSANTDVLAWIVERVTGLRYVEALSTYLWAKLDADRDATITVDQTGFGFANGGVSCTARDLARVGRMMLDGGVAPGGRVVSQGWVESVLAGGSREAMTDEGFTSAFPEGSYTRQWWCTGNERGNVSGIGIHGQNLWLDPRTDSVIVKLSSWPDPDTRHWHGLQSGILLDVSRALDAV</t>
        </is>
      </c>
      <c r="AE442" s="5" t="inlineStr">
        <is>
          <t>Paenarthrobacter ureafaciens</t>
        </is>
      </c>
      <c r="AF442" s="5" t="n">
        <v>37931</v>
      </c>
      <c r="AG442" s="5" t="inlineStr">
        <is>
          <t>supp_unavailable</t>
        </is>
      </c>
      <c r="AH442" s="5" t="inlineStr">
        <is>
          <t>ncbi</t>
        </is>
      </c>
      <c r="AI442" s="5" t="n"/>
      <c r="AJ442" s="5" t="n"/>
      <c r="AK442" s="5" t="n"/>
      <c r="AL442" s="5" t="n">
        <v>1</v>
      </c>
    </row>
    <row r="443" ht="15" customHeight="1" s="12">
      <c r="A443" s="5" t="inlineStr">
        <is>
          <t>both</t>
        </is>
      </c>
      <c r="B443" s="5" t="inlineStr">
        <is>
          <t>MNERTAADAAHGDPARGDDVRAVATSRYAEGAPGNDDVRPVPAPSPGRADVAFDIPGVSVGTAEYTEGPTGCTVIRFDGAARTAIDARGGAVGLSGGYEVHQAIVFAGGSVYGLEAAAGVGTGLLREQGNRTHWAALQHVSGAVIYDFSARDTAIAPDAALGRAALRAARPGRFPVGRCGAGRSASVGKIDFSRAEFAGQGAAYRAFGPVKVLVATVVNAVGVVVDRDGRVVRGNVHPDGRRRRPADDVAAGLGSGDGPAPLAGNTTLTVLVTNARLPERSLRQLGTQVHSSMHRAIQPFHTEIDGDILFTVTTDEVDLEGTTATGLGALASEVAWDAVLSAAE</t>
        </is>
      </c>
      <c r="C443" s="5" t="n">
        <v>175</v>
      </c>
      <c r="D443" s="5" t="inlineStr">
        <is>
          <t>A0A7W8QII1</t>
        </is>
      </c>
      <c r="E443" s="5" t="n">
        <v>9</v>
      </c>
      <c r="F443" s="5" t="inlineStr">
        <is>
          <t>NylC</t>
        </is>
      </c>
      <c r="G443" s="5" t="inlineStr">
        <is>
          <t>L-amino peptidase D-ALA esterase/amidase</t>
        </is>
      </c>
      <c r="H443" s="5" t="inlineStr">
        <is>
          <t>3.60.70.12</t>
        </is>
      </c>
      <c r="I443" s="5" t="inlineStr">
        <is>
          <t>Bacteria</t>
        </is>
      </c>
      <c r="J443" s="5" t="inlineStr">
        <is>
          <t>Nocardiopsis composta</t>
        </is>
      </c>
      <c r="K443" s="5" t="inlineStr">
        <is>
          <t>Nc-NylC</t>
        </is>
      </c>
      <c r="L443" s="5" t="inlineStr">
        <is>
          <t>PA</t>
        </is>
      </c>
      <c r="M443" s="5" t="inlineStr">
        <is>
          <t>-</t>
        </is>
      </c>
      <c r="N443" s="5" t="inlineStr">
        <is>
          <t>Bell, 2024</t>
        </is>
      </c>
      <c r="O443" s="5" t="inlineStr">
        <is>
          <t>A0A7W8QII1</t>
        </is>
      </c>
      <c r="P443" s="5" t="inlineStr">
        <is>
          <t>A0A7W8QII1</t>
        </is>
      </c>
      <c r="Q443" s="5" t="inlineStr">
        <is>
          <t>-</t>
        </is>
      </c>
      <c r="R443" s="5" t="inlineStr">
        <is>
          <t>A0A7W8QII1</t>
        </is>
      </c>
      <c r="S443" s="5" t="inlineStr">
        <is>
          <t>L-aminopeptidase/D-esterase-like protein</t>
        </is>
      </c>
      <c r="T443" s="5" t="inlineStr">
        <is>
          <t>Nocardiopsis composta</t>
        </is>
      </c>
      <c r="U443" s="5">
        <f>FALSE()</f>
        <v/>
      </c>
      <c r="V443" s="5">
        <f>TRUE()</f>
        <v/>
      </c>
      <c r="W443" s="5" t="inlineStr">
        <is>
          <t>MNERTAADAAHGDPARGDDVRAVATSRYAEGAPGNDDVRPVPAPSPGRADVAFDIPGVSVGTAEYTEGPTGCTVIRFDGAARTAIDARGGAVGLSGGYEVHQAIVFAGGSVYGLEAAAGVGTGLLREQGNRTHWAALQHVSGAVIYDFSARDTAIAPDAALGRAALRAARPGRFPVGRCGAGRSASVGKIDFSRAEFAGQGAAYRAFGPVKVLVATVVNAVGVVVDRDGRVVRGNVHPDGRRRRPADDVAAGLGSGDGPAPLAGNTTLTVLVTNARLPERSLRQLGTQVHSSMHRAIQPFHTEIDGDILFTVTTDEVDLEGTTATGLGALASEVAWDAVLSAAE</t>
        </is>
      </c>
      <c r="X443" s="5" t="n">
        <v>1</v>
      </c>
      <c r="Y443" s="5" t="inlineStr">
        <is>
          <t>Nc-NylC</t>
        </is>
      </c>
      <c r="Z443" s="5" t="inlineStr">
        <is>
          <t>WP_312893488.1</t>
        </is>
      </c>
      <c r="AA443" s="5" t="inlineStr">
        <is>
          <t>Direct</t>
        </is>
      </c>
      <c r="AB443" s="5" t="n">
        <v>219</v>
      </c>
      <c r="AC443" s="5" t="inlineStr">
        <is>
          <t>10.1038/s41467-024-45523-5</t>
        </is>
      </c>
      <c r="AD443" s="5" t="inlineStr">
        <is>
          <t>MNERTAADAAHGDPARGDDVRAVATSRYAEGAPGNDDVRPVPAPSPGRADVAFDIPGVSVGTAEYTEGPTGCTVIRFDGAARTAIDARGGAVGLSGGYEVHQAIVFAGGSVYGLEAAAGVGTGLLREQGNRTHWAALQHVSGAVIYDFSARDTAIAPDAALGRAALRAARPGRFPVGRCGAGRSASVGKIDFSRAEFAGQGAAYRAFGPVKVLVATVVNAVGVVVDRDGRVVRGNVHPDGRRRRPADDVAAGLGSGDGPAPLAGNTTLTVLVTNARLPERSLRQLGTQVHSSMHRAIQPFHTEIDGDILFTVTTDEVDLEGTTATGLGALASEVAWDAVLSAAE</t>
        </is>
      </c>
      <c r="AE443" s="5" t="inlineStr">
        <is>
          <t>Nocardiopsis composta</t>
        </is>
      </c>
      <c r="AF443" s="5" t="n">
        <v>157465</v>
      </c>
      <c r="AG443" s="5" t="inlineStr">
        <is>
          <t>supp_unavailable</t>
        </is>
      </c>
      <c r="AH443" s="5" t="inlineStr">
        <is>
          <t>ncbi</t>
        </is>
      </c>
      <c r="AI443" s="5" t="n"/>
      <c r="AJ443" s="5" t="n"/>
      <c r="AK443" s="5" t="n"/>
      <c r="AL443" s="5" t="n">
        <v>1</v>
      </c>
    </row>
    <row r="444" ht="15" customHeight="1" s="12">
      <c r="A444" s="5" t="inlineStr">
        <is>
          <t>both</t>
        </is>
      </c>
      <c r="B444" s="5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C444" s="5" t="n">
        <v>1</v>
      </c>
      <c r="D444" s="5" t="inlineStr">
        <is>
          <t>WP_054022242.1</t>
        </is>
      </c>
      <c r="E444" s="5" t="n">
        <v>1</v>
      </c>
      <c r="F444" s="5" t="inlineStr">
        <is>
          <t>Ipet</t>
        </is>
      </c>
      <c r="G444" s="5" t="inlineStr">
        <is>
          <t>Alpha/Beta Hydrolase</t>
        </is>
      </c>
      <c r="H444" s="5" t="inlineStr">
        <is>
          <t>3.40.50.1820</t>
        </is>
      </c>
      <c r="I444" s="5" t="inlineStr">
        <is>
          <t>Bacteria</t>
        </is>
      </c>
      <c r="J444" s="5" t="inlineStr">
        <is>
          <t>Ideonella sakaiensis 201-F6</t>
        </is>
      </c>
      <c r="K444" s="5" t="inlineStr">
        <is>
          <t>PETase</t>
        </is>
      </c>
      <c r="L444" s="5" t="inlineStr">
        <is>
          <t>PET</t>
        </is>
      </c>
      <c r="M444" s="5" t="inlineStr">
        <is>
          <t>EC 3.1.1.101</t>
        </is>
      </c>
      <c r="N444" s="5" t="inlineStr">
        <is>
          <t>Yoshida, 2016; Han 2017;  Cui, 2021; Son, 2019; Lu, 2022; Bell, 2022; Shi et al., 2023; Sevilla et al., 2023</t>
        </is>
      </c>
      <c r="O444" s="5" t="inlineStr">
        <is>
          <t>A0A0K8P6T7</t>
        </is>
      </c>
      <c r="P444" s="5" t="inlineStr">
        <is>
          <t>WP_054022242.1</t>
        </is>
      </c>
      <c r="Q444" s="5" t="inlineStr">
        <is>
          <t>5XFY</t>
        </is>
      </c>
      <c r="R444" s="5" t="inlineStr">
        <is>
          <t>A0A0K8P6T7</t>
        </is>
      </c>
      <c r="S444" s="5" t="inlineStr">
        <is>
          <t>poly(ethylene terephthalate) hydrolase</t>
        </is>
      </c>
      <c r="T444" s="5" t="inlineStr">
        <is>
          <t>Piscinibacter sakaiensis</t>
        </is>
      </c>
      <c r="U444" s="5">
        <f>FALSE()</f>
        <v/>
      </c>
      <c r="V444" s="5">
        <f>TRUE()</f>
        <v/>
      </c>
      <c r="W444" s="5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X444" s="5" t="n">
        <v>1</v>
      </c>
      <c r="Y444" s="5" t="inlineStr">
        <is>
          <t>ISPETase</t>
        </is>
      </c>
      <c r="Z444" s="5" t="inlineStr">
        <is>
          <t>WP_054022242.1</t>
        </is>
      </c>
      <c r="AA444" s="5" t="inlineStr">
        <is>
          <t>Direct</t>
        </is>
      </c>
      <c r="AB444" s="5" t="n">
        <v>1</v>
      </c>
      <c r="AC444" s="5" t="inlineStr">
        <is>
          <t>10.1126/science.aad6359; 10.1038/s41467-017-02255-z; 10.1021/acscatal.9b00568; 10.1021/acscatal.0c05126; 10.1038/s41929-022-00821-3; 10.1038/s41586-022-04599-z; 10.3390/polym15071779; 10.1039/D4SU00722K</t>
        </is>
      </c>
      <c r="AD444" s="5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AE444" s="5" t="inlineStr">
        <is>
          <t>Piscinibacter sakaiensis</t>
        </is>
      </c>
      <c r="AF444" s="5" t="n">
        <v>1547922</v>
      </c>
      <c r="AG444" s="5" t="inlineStr">
        <is>
          <t>supp_unavailable</t>
        </is>
      </c>
      <c r="AH444" s="5" t="inlineStr">
        <is>
          <t>ncbi</t>
        </is>
      </c>
      <c r="AI444" s="5" t="n"/>
      <c r="AJ444" s="5" t="n"/>
      <c r="AK444" s="5" t="n"/>
      <c r="AL444" s="5" t="n">
        <v>1</v>
      </c>
    </row>
    <row r="445" ht="15" customHeight="1" s="12">
      <c r="A445" s="5" t="inlineStr">
        <is>
          <t>both</t>
        </is>
      </c>
      <c r="B445" s="5" t="inlineStr">
        <is>
          <t>MNKSILKKLSFGTSVLLVSMNALSWTPSPTPNPDPIPDPTPCQDDCDFTRGPNPTPSSLEASTGPYSVATRSVASSVSGFGGGTLHYPTNTTGTMGAIAVVPGFLLQESSIDFWGPKLASHGFVVITISANSGFDQPASRATQLGRALDYVINQSNGSNSPISGMVDTTRLGVVGWSMGGGGALQLASGDRLSAAIPIAPWNQGGNRFDQIETPTLVIACENDVVASVNSHASPFYNRIPSTTDKAYLEINGGSHFCANDGGSIGGLLGKYGVSWMKRFIDNDLRYDAFLCGPDHAANRSVSEYRDTCNY</t>
        </is>
      </c>
      <c r="C445" s="5" t="n">
        <v>36</v>
      </c>
      <c r="D445" s="5" t="inlineStr">
        <is>
          <t>MBQ0729274.1</t>
        </is>
      </c>
      <c r="E445" s="5" t="n">
        <v>1</v>
      </c>
      <c r="F445" s="5" t="inlineStr">
        <is>
          <t>Ipet</t>
        </is>
      </c>
      <c r="G445" s="5" t="inlineStr">
        <is>
          <t>Alpha/Beta Hydrolase</t>
        </is>
      </c>
      <c r="H445" s="5" t="inlineStr">
        <is>
          <t>3.40.50.1820</t>
        </is>
      </c>
      <c r="I445" s="5" t="inlineStr">
        <is>
          <t>Bacteria</t>
        </is>
      </c>
      <c r="J445" s="5" t="inlineStr">
        <is>
          <t>Oleispira antarctica</t>
        </is>
      </c>
      <c r="K445" s="5" t="inlineStr">
        <is>
          <t>PETase</t>
        </is>
      </c>
      <c r="L445" s="5" t="inlineStr">
        <is>
          <t>PET</t>
        </is>
      </c>
      <c r="M445" s="5" t="inlineStr">
        <is>
          <t>EC 3.1.1.1</t>
        </is>
      </c>
      <c r="N445" s="5" t="inlineStr">
        <is>
          <t>Danso, 2018, Blasquez-Sanchez, 2021</t>
        </is>
      </c>
      <c r="O445" s="5" t="inlineStr">
        <is>
          <t>R4YKL9_OLEAN</t>
        </is>
      </c>
      <c r="P445" s="5" t="inlineStr">
        <is>
          <t>MBQ0729274.1</t>
        </is>
      </c>
      <c r="Q445" s="5" t="inlineStr">
        <is>
          <t>-</t>
        </is>
      </c>
      <c r="R445" s="5" t="inlineStr">
        <is>
          <t>R4YKL9_OLEAN</t>
        </is>
      </c>
      <c r="S445" s="5" t="inlineStr">
        <is>
          <t>dienelactone hydrolase family protein</t>
        </is>
      </c>
      <c r="T445" s="5" t="inlineStr">
        <is>
          <t>Oleispira antarctica</t>
        </is>
      </c>
      <c r="U445" s="5">
        <f>FALSE()</f>
        <v/>
      </c>
      <c r="V445" s="5">
        <f>TRUE()</f>
        <v/>
      </c>
      <c r="W445" s="5" t="inlineStr">
        <is>
          <t>MNKSILKKLSFGTSVLLVSMNALSWTPSPTPNPDPIPDPTPCQDDCDFTRGPNPTPSSLEASTGPYSVATRSVASSVSGFGGGTLHYPTNTTGTMGAIAVVPGFLLQESSIDFWGPKLASHGFVVITISANSGFDQPASRATQLGRALDYVINQSNGSNSPISGMVDTTRLGVVGWSMGGGGALQLASGDRLSAAIPIAPWNQGGNRFDQIETPTLVIACENDVVASVNSHASPFYNRIPSTTDKAYLEINGGSHFCANDGGSIGGLLGKYGVSWMKRFIDNDLRYDAFLCGPDHAANRSVSEYRDTCNY</t>
        </is>
      </c>
      <c r="X445" s="5" t="n">
        <v>1</v>
      </c>
      <c r="Y445" s="5" t="inlineStr">
        <is>
          <t>PET5</t>
        </is>
      </c>
      <c r="Z445" s="5" t="inlineStr">
        <is>
          <t>CCK74972.1</t>
        </is>
      </c>
      <c r="AA445" s="5" t="inlineStr">
        <is>
          <t>Direct</t>
        </is>
      </c>
      <c r="AB445" s="5" t="n">
        <v>2</v>
      </c>
      <c r="AC445" s="5" t="inlineStr">
        <is>
          <t>10.1128/aem.02773-17; 10.1128/AEM.01842-21</t>
        </is>
      </c>
      <c r="AD445" s="5" t="inlineStr">
        <is>
          <t>MNKSILKKLSFGTSVLLVSMNALSWTPSPTPNPDPIPDPTPCQDDCDFTRGPNPTPSSLEASTGPYSVATRSVASSVSGFGGGTLHYPTNTTGTMGAIAVVPGFLLQESSIDFWGPKLASHGFVVITISANSGFDQPASRATQLGRALDYVINQSNGSNSPISGMVDTTRLGVVGWSMGGGGALQLASGDRLSAAIPIAPWNQGGNRFDQIETPTLVIACENDVVASVNSHASPFYNRIPSTTDKAYLEINGGSHFCANDGGSIGGLLGKYGVSWMKRFIDNDLRYDAFLCGPDHAANRSVSEYRDTCNY</t>
        </is>
      </c>
      <c r="AE445" s="5" t="inlineStr">
        <is>
          <t>Oleispira antarctica</t>
        </is>
      </c>
      <c r="AF445" s="5" t="n">
        <v>188908</v>
      </c>
      <c r="AG445" s="5" t="inlineStr">
        <is>
          <t>supp_unavailable</t>
        </is>
      </c>
      <c r="AH445" s="5" t="inlineStr">
        <is>
          <t>ncbi</t>
        </is>
      </c>
      <c r="AI445" s="5" t="n"/>
      <c r="AJ445" s="5" t="n"/>
      <c r="AK445" s="5" t="n"/>
      <c r="AL445" s="5" t="n">
        <v>1</v>
      </c>
    </row>
    <row r="446" ht="15" customHeight="1" s="12">
      <c r="A446" s="5" t="inlineStr">
        <is>
          <t>both</t>
        </is>
      </c>
      <c r="B446" s="5" t="inlineStr">
        <is>
          <t>MNSRSLTKAIRFPTILALAGFSVLGACGGSDNDSSSNNQGAPAVAITVAGQVQAVDRLGMRRYFGIPFAAPPVGNLRWMPPAPPQSWAAPLAKTQSNAPCMQTGATDPLRLPNGTEDCLYLDVHAPATGEGPFPVMVWIHGGAFSIGGTITYADPSPLVSKGVIVVNIAYRMGAM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RYWTNFARTSNPNNGDPVATSWPAFTGPTKVLGLDVASAGGIRELATFETDHKCNTAWTSLTF</t>
        </is>
      </c>
      <c r="C446" s="5" t="n">
        <v>102</v>
      </c>
      <c r="D446" s="5" t="inlineStr">
        <is>
          <t>BAA76305.1</t>
        </is>
      </c>
      <c r="E446" s="5" t="n">
        <v>23</v>
      </c>
      <c r="F446" s="5" t="inlineStr">
        <is>
          <t>Ipet</t>
        </is>
      </c>
      <c r="G446" s="5" t="inlineStr">
        <is>
          <t>Alpha/Beta Hydrolase</t>
        </is>
      </c>
      <c r="H446" s="5" t="inlineStr">
        <is>
          <t>3.40.50.1820</t>
        </is>
      </c>
      <c r="I446" s="5" t="inlineStr">
        <is>
          <t>Bacteria</t>
        </is>
      </c>
      <c r="J446" s="5" t="inlineStr">
        <is>
          <t>Comamonas acidovorans TB-35</t>
        </is>
      </c>
      <c r="K446" s="5" t="inlineStr">
        <is>
          <t>PudA</t>
        </is>
      </c>
      <c r="L446" s="5" t="inlineStr">
        <is>
          <t>PLA; PUR</t>
        </is>
      </c>
      <c r="M446" s="5" t="inlineStr">
        <is>
          <t>EC 3.1.1.1</t>
        </is>
      </c>
      <c r="N446" s="5" t="inlineStr">
        <is>
          <t>Nakajima-Kambe, 1995 ; Nakajima-Kambe, 1997 ; Akutsu, 1998 ; Nomura, 1998; Shigeno-Akutsu, 1999; Akutsu, 1998</t>
        </is>
      </c>
      <c r="O446" s="5" t="inlineStr">
        <is>
          <t>BAA76305.1</t>
        </is>
      </c>
      <c r="P446" s="5" t="inlineStr">
        <is>
          <t>BAA76305.1</t>
        </is>
      </c>
      <c r="Q446" s="5" t="inlineStr">
        <is>
          <t>-</t>
        </is>
      </c>
      <c r="R446" s="5" t="inlineStr">
        <is>
          <t>Q9WX47</t>
        </is>
      </c>
      <c r="S446" s="5" t="inlineStr">
        <is>
          <t>polyurethane esterase</t>
        </is>
      </c>
      <c r="T446" s="5" t="inlineStr">
        <is>
          <t>Delftia acidovorans</t>
        </is>
      </c>
      <c r="U446" s="5">
        <f>FALSE()</f>
        <v/>
      </c>
      <c r="V446" s="5">
        <f>TRUE()</f>
        <v/>
      </c>
      <c r="W446" s="5" t="inlineStr">
        <is>
          <t>MNSRSLTKAIRFPTILALAGFSVLGACGGSDNDSSSNNQGAPAVAITVAGQVQAVDRLGMRRYFGIPFAAPPVGNLRWMPPAPPQSWAAPLAKTQSNAPCMQTGATDPLRLPNGTEDCLYLDVHAPATGEGPFPVMVWIHGGAFSIGGTITYADPSPLVSKGVIVVNIAYRMGAM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RYWTNFARTSNPNNGDPVATSWPAFTGPTKVLGLDVASAGGIRELATFETDHKCNTAWTSLTF</t>
        </is>
      </c>
      <c r="X446" s="5" t="n">
        <v>1</v>
      </c>
      <c r="Y446" s="5" t="inlineStr">
        <is>
          <t>PudA</t>
        </is>
      </c>
      <c r="Z446" s="5" t="inlineStr">
        <is>
          <t>BAA76305.1</t>
        </is>
      </c>
      <c r="AA446" s="5" t="inlineStr">
        <is>
          <t>Direct</t>
        </is>
      </c>
      <c r="AB446" s="5" t="n">
        <v>46</v>
      </c>
      <c r="AC446" s="5" t="inlineStr">
        <is>
          <t>10.1016/0378-1097(95)00131-n; 10.1016/S0922-338X(97)83000-0; 10.1128/aem.64.1.62-67.1998; 10.1016/S0922-338X(99)89001-1; 10.1016/s1389-1723(00)87663-x</t>
        </is>
      </c>
      <c r="AD446" s="5" t="inlineStr">
        <is>
          <t>MNSRSLTKAIRFPTILALAGFSVLGACGGSDNDSSSNNQGAPAVAITVAGQVQAVDRLGMRRYFGIPFAAPPVGNLRWMPPAPPQSWAAPLAKTQSNAPCMQTGATDPLRLPNGTEDCLYLDVHAPATGEGPFPVMVWIHGGAFSIGGTITYADPSPLVSKGVIVVNIAYRMGAM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RYWTNFARTSNPNNGDPVATSWPAFTGPTKVLGLDVASAGGIRELATFETDHKCNTAWTSLTF</t>
        </is>
      </c>
      <c r="AE446" s="5" t="inlineStr">
        <is>
          <t>Delftia acidovorans</t>
        </is>
      </c>
      <c r="AF446" s="5" t="n">
        <v>80866</v>
      </c>
      <c r="AG446" s="5" t="inlineStr">
        <is>
          <t>supp_unavailable</t>
        </is>
      </c>
      <c r="AH446" s="5" t="inlineStr">
        <is>
          <t>ncbi</t>
        </is>
      </c>
      <c r="AI446" s="5" t="n"/>
      <c r="AJ446" s="5" t="n"/>
      <c r="AK446" s="5" t="n"/>
      <c r="AL446" s="5" t="n">
        <v>1</v>
      </c>
    </row>
    <row r="447" ht="15" customHeight="1" s="12">
      <c r="A447" s="5" t="inlineStr">
        <is>
          <t>both</t>
        </is>
      </c>
      <c r="B447" s="5" t="inlineStr">
        <is>
          <t>MNTELRIKKDLRNPLTFLLAAVFSLQVFATTPTPTPEPEPEPPGGCGDCYQRGPDPTVAALEADRGPYSVRTINVSSWVSGFGGGTIHYPVGTQGTMGAIAVIPGYVSYENSIEWWGGRLASWGFVVITIDTNSIYDQPDSRANQLSAALDYVIAQSNSSRSAIQGMVDPNRLGAIGWSMGGGGTLKLSTDRYLKAAIPQAPWYSGFNPFDEITTPTLIIACQLDAVAPVAQHASPFYNEIPNSTAKAFLEIRNGDHFCANSGYPDEDILGKYGVAWMKRFIDDDRRYDAFLCGPNHEAEWDISEYRDTCNY</t>
        </is>
      </c>
      <c r="C447" s="5" t="n">
        <v>51</v>
      </c>
      <c r="D447" s="5" t="inlineStr">
        <is>
          <t>RLU00646.1</t>
        </is>
      </c>
      <c r="E447" s="5" t="n">
        <v>1</v>
      </c>
      <c r="F447" s="5" t="inlineStr">
        <is>
          <t>Ipet</t>
        </is>
      </c>
      <c r="G447" s="5" t="inlineStr">
        <is>
          <t>Alpha/Beta Hydrolase</t>
        </is>
      </c>
      <c r="H447" s="5" t="inlineStr">
        <is>
          <t>3.40.50.1820</t>
        </is>
      </c>
      <c r="I447" s="5" t="inlineStr">
        <is>
          <t>Bacteria</t>
        </is>
      </c>
      <c r="J447" s="5" t="inlineStr">
        <is>
          <t>Rhizobacter gummiphilus</t>
        </is>
      </c>
      <c r="K447" s="5" t="inlineStr">
        <is>
          <t>RgCut-II</t>
        </is>
      </c>
      <c r="L447" s="5" t="inlineStr">
        <is>
          <t>PET</t>
        </is>
      </c>
      <c r="M447" s="5" t="inlineStr">
        <is>
          <t>-</t>
        </is>
      </c>
      <c r="N447" s="5" t="inlineStr">
        <is>
          <t>Erickson, 2022</t>
        </is>
      </c>
      <c r="O447" s="5" t="inlineStr">
        <is>
          <t>RLU00646.1</t>
        </is>
      </c>
      <c r="P447" s="5" t="inlineStr">
        <is>
          <t>RLU00646.1</t>
        </is>
      </c>
      <c r="Q447" s="5" t="inlineStr">
        <is>
          <t>-</t>
        </is>
      </c>
      <c r="R447" s="5" t="inlineStr">
        <is>
          <t>A0A3L8BW54</t>
        </is>
      </c>
      <c r="S447" s="5" t="inlineStr">
        <is>
          <t>alpha/beta hydrolase</t>
        </is>
      </c>
      <c r="T447" s="5" t="inlineStr">
        <is>
          <t>Ketobacter sp.</t>
        </is>
      </c>
      <c r="U447" s="5">
        <f>FALSE()</f>
        <v/>
      </c>
      <c r="V447" s="5">
        <f>TRUE()</f>
        <v/>
      </c>
      <c r="W447" s="5" t="inlineStr">
        <is>
          <t>MNTELRIKKDLRNPLTFLLAAVFSLQVFATTPTPTPEPEPEPPGGCGDCYQRGPDPTVAALEADRGPYSVRTINVSSWVSGFGGGTIHYPVGTQGTMGAIAVIPGYVSYENSIEWWGGRLASWGFVVITIDTNSIYDQPDSRANQLSAALDYVIAQSNSSRSAIQGMVDPNRLGAIGWSMGGGGTLKLSTDRYLKAAIPQAPWYSGFNPFDEITTPTLIIACQLDAVAPVAQHASPFYNEIPNSTAKAFLEIRNGDHFCANSGYPDEDILGKYGVAWMKRFIDDDRRYDAFLCGPNHEAEWDISEYRDTCNY</t>
        </is>
      </c>
      <c r="X447" s="5" t="n">
        <v>1</v>
      </c>
      <c r="Y447" s="5" t="n">
        <v>403</v>
      </c>
      <c r="Z447" s="5" t="inlineStr">
        <is>
          <t>RLU00646.1</t>
        </is>
      </c>
      <c r="AA447" s="5" t="inlineStr">
        <is>
          <t>Direct</t>
        </is>
      </c>
      <c r="AB447" s="5" t="n">
        <v>141</v>
      </c>
      <c r="AC447" s="5" t="inlineStr">
        <is>
          <t>10.1038/s41467-022-35237-x</t>
        </is>
      </c>
      <c r="AD447" s="5" t="inlineStr">
        <is>
          <t>MNTELRIKKDLRNPLTFLLAAVFSLQVFATTPTPTPEPEPEPPGGCGDCYQRGPDPTVAALEADRGPYSVRTINVSSWVSGFGGGTIHYPVGTQGTMGAIAVIPGYVSYENSIEWWGGRLASWGFVVITIDTNSIYDQPDSRANQLSAALDYVIAQSNSSRSAIQGMVDPNRLGAIGWSMGGGGTLKLSTDRYLKAAIPQAPWYSGFNPFDEITTPTLIIACQLDAVAPVAQHASPFYNEIPNSTAKAFLEIRNGDHFCANSGYPDEDILGKYGVAWMKRFIDDDRRYDAFLCGPNHEAEWDISEYRDTCNY</t>
        </is>
      </c>
      <c r="AE447" s="5" t="inlineStr">
        <is>
          <t>Ketobacter sp.</t>
        </is>
      </c>
      <c r="AF447" s="5" t="n">
        <v>2083498</v>
      </c>
      <c r="AG447" s="5" t="inlineStr">
        <is>
          <t>supp_unavailable</t>
        </is>
      </c>
      <c r="AH447" s="5" t="inlineStr">
        <is>
          <t>ncbi</t>
        </is>
      </c>
      <c r="AI447" s="5" t="n"/>
      <c r="AJ447" s="5" t="n"/>
      <c r="AK447" s="5" t="n"/>
      <c r="AL447" s="5" t="n">
        <v>1</v>
      </c>
    </row>
    <row r="448" ht="15" customHeight="1" s="12">
      <c r="A448" s="5" t="inlineStr">
        <is>
          <t>both</t>
        </is>
      </c>
      <c r="B448" s="5" t="inlineStr">
        <is>
          <t>MNTTPVHALTDIDGGIAVDPAPRLAGPPVFGGPGNAAFDLVPVRSTGRETLRFDFPGVSVGSAHYEEGPTGATVIHIPAGARTAVDARGGAVGLSGGYDFNHAICLAGGASYGLEAGAGVSGALLERLEYRTGFAEAQLVSSAVIYDFSARSTAVYPDKALGRAALEFAVPGEFPQGRAGAGMSASAGKVDWDRTEITGQGAAFRRLGDVRILAVVVPNPVGVIMDRAGGIVRGNYDAQTGVRRHPVFDYQEAFAEQLPPVTQAGNTTISAIVTNVRMSPVELNQFAKQVHSSMHRGIQPFHTDMDGDTLFAVTTDEIDLPTTPGSSRGRLSVNATALGAIASEVMWDAVLEAAK</t>
        </is>
      </c>
      <c r="C448" s="5" t="n">
        <v>178</v>
      </c>
      <c r="D448" s="5" t="inlineStr">
        <is>
          <t>Q1EPR4.1</t>
        </is>
      </c>
      <c r="E448" s="5" t="n">
        <v>9</v>
      </c>
      <c r="F448" s="5" t="inlineStr">
        <is>
          <t>NylC</t>
        </is>
      </c>
      <c r="G448" s="5" t="inlineStr">
        <is>
          <t>L-amino peptidase D-ALA esterase/amidase</t>
        </is>
      </c>
      <c r="H448" s="5" t="inlineStr">
        <is>
          <t>3.60.70.12</t>
        </is>
      </c>
      <c r="I448" s="5" t="inlineStr">
        <is>
          <t>Bacteria</t>
        </is>
      </c>
      <c r="J448" s="5" t="inlineStr">
        <is>
          <t>Kocuria sp. KY2</t>
        </is>
      </c>
      <c r="K448" s="5" t="inlineStr">
        <is>
          <t>NylC</t>
        </is>
      </c>
      <c r="L448" s="5" t="inlineStr">
        <is>
          <t>PA</t>
        </is>
      </c>
      <c r="M448" s="5" t="inlineStr">
        <is>
          <t>-</t>
        </is>
      </c>
      <c r="N448" s="5" t="inlineStr">
        <is>
          <t>Yasuhira, 2007; Bell, 2024</t>
        </is>
      </c>
      <c r="O448" s="5" t="inlineStr">
        <is>
          <t>Q1EPR4</t>
        </is>
      </c>
      <c r="P448" s="5" t="inlineStr">
        <is>
          <t>Q1EPR4.1</t>
        </is>
      </c>
      <c r="Q448" s="5" t="inlineStr">
        <is>
          <t>-</t>
        </is>
      </c>
      <c r="R448" s="5" t="inlineStr">
        <is>
          <t>Q1EPR4</t>
        </is>
      </c>
      <c r="S448" s="5" t="inlineStr">
        <is>
          <t>6-aminohexanoate-oligomer endohydrolase</t>
        </is>
      </c>
      <c r="T448" s="5" t="inlineStr">
        <is>
          <t>-</t>
        </is>
      </c>
      <c r="U448" s="5">
        <f>FALSE()</f>
        <v/>
      </c>
      <c r="V448" s="5">
        <f>TRUE()</f>
        <v/>
      </c>
      <c r="W448" s="5" t="inlineStr">
        <is>
          <t>MNTTPVHALTDIDGGIAVDPAPRLAGPPVFGGPGNAAFDLVPVRSTGRETLRFDFPGVSVGSAHYEEGPTGATVIHIPAGARTAVDARGGAVGLSGGYDFNHAICLAGGASYGLEAGAGVSGALLERLEYRTGFAEAQLVSSAVIYDFSARSTAVYPDKALGRAALEFAVPGEFPQGRAGAGMSASAGKVDWDRTEITGQGAAFRRLGDVRILAVVVPNPVGVIMDRAGGIVRGNYDAQTGVRRHPVFDYQEAFAEQLPPVTQAGNTTISAIVTNVRMSPVELNQFAKQVHSSMHRGIQPFHTDMDGDTLFAVTTDEIDLPTTPGSSRGRLSVNATALGAIASEVMWDAVLEAAK</t>
        </is>
      </c>
      <c r="X448" s="5" t="n">
        <v>1</v>
      </c>
      <c r="Y448" s="5" t="inlineStr">
        <is>
          <t>NylCK</t>
        </is>
      </c>
      <c r="Z448" s="5" t="inlineStr">
        <is>
          <t>BAE95770.1</t>
        </is>
      </c>
      <c r="AA448" s="5" t="inlineStr">
        <is>
          <t>Direct</t>
        </is>
      </c>
      <c r="AB448" s="5" t="n">
        <v>63</v>
      </c>
      <c r="AC448" s="5" t="inlineStr">
        <is>
          <t>10.1128/aem.00777-07; 10.1038/s41467-024-45523-5</t>
        </is>
      </c>
      <c r="AD448" s="5" t="inlineStr">
        <is>
          <t>MNTTPVHALTDIDGGIAVDPAPRLAGPPVFGGPGNAAFDLVPVRSTGRETLRFDFPGVSVGSAHYEEGPTGATVIHIPAGARTAVDARGGAVGLSGGYDFNHAICLAGGASYGLEAGAGVSGALLERLEYRTGFAEAQLVSSAVIYDFSARSTAVYPDKALGRAALEFAVPGEFPQGRAGAGMSASAGKVDWDRTEITGQGAAFRRLGDVRILAVVVPNPVGVIMDRAGGIVRGNYDAQTGVRRHPVFDYQEAFAEQLPPVTQAGNTTISAIVTNVRMSPVELNQFAKQVHSSMHRGIQPFHTDMDGDTLFAVTTDEIDLPTTPGSSRGRLSVNATALGAIASEVMWDAVLEAAK</t>
        </is>
      </c>
      <c r="AE448" s="5" t="inlineStr">
        <is>
          <t>Kocuria sp. KY2</t>
        </is>
      </c>
      <c r="AF448" s="5" t="n">
        <v>388923</v>
      </c>
      <c r="AG448" s="5" t="inlineStr">
        <is>
          <t>supp_unavailable</t>
        </is>
      </c>
      <c r="AH448" s="5" t="inlineStr">
        <is>
          <t>ncbi</t>
        </is>
      </c>
      <c r="AI448" s="5" t="n"/>
      <c r="AJ448" s="5" t="n"/>
      <c r="AK448" s="5" t="n"/>
      <c r="AL448" s="5" t="n">
        <v>1</v>
      </c>
    </row>
    <row r="449" ht="15" customHeight="1" s="12">
      <c r="A449" s="5" t="inlineStr">
        <is>
          <t>both</t>
        </is>
      </c>
      <c r="B449" s="5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  <c r="C449" s="5" t="n">
        <v>180</v>
      </c>
      <c r="D449" s="5" t="inlineStr">
        <is>
          <t>Q79F77.1</t>
        </is>
      </c>
      <c r="E449" s="5" t="n">
        <v>9</v>
      </c>
      <c r="F449" s="5" t="inlineStr">
        <is>
          <t>NylC</t>
        </is>
      </c>
      <c r="G449" s="5" t="inlineStr">
        <is>
          <t>L-amino peptidase D-ALA esterase/amidase</t>
        </is>
      </c>
      <c r="H449" s="5" t="inlineStr">
        <is>
          <t>3.60.70.12</t>
        </is>
      </c>
      <c r="I449" s="5" t="inlineStr">
        <is>
          <t>Bacteria</t>
        </is>
      </c>
      <c r="J449" s="5" t="inlineStr">
        <is>
          <t>Paenarthrobacter ureafaciens K172</t>
        </is>
      </c>
      <c r="K449" s="5" t="inlineStr">
        <is>
          <t>NylC</t>
        </is>
      </c>
      <c r="L449" s="5" t="inlineStr">
        <is>
          <t>PA</t>
        </is>
      </c>
      <c r="M449" s="5" t="inlineStr">
        <is>
          <t>-</t>
        </is>
      </c>
      <c r="N449" s="5" t="inlineStr">
        <is>
          <t>Kinoshita, 1975;Negoro, 1992; Kakudo, 1993; Bell, 2024</t>
        </is>
      </c>
      <c r="O449" s="5" t="inlineStr">
        <is>
          <t>NYLC_FLASK</t>
        </is>
      </c>
      <c r="P449" s="5" t="inlineStr">
        <is>
          <t>Q79F77.1</t>
        </is>
      </c>
      <c r="Q449" s="5" t="inlineStr">
        <is>
          <t>5XYO</t>
        </is>
      </c>
      <c r="R449" s="5" t="inlineStr">
        <is>
          <t>NYLC_FLASK</t>
        </is>
      </c>
      <c r="S449" s="5" t="inlineStr">
        <is>
          <t>6-aminohexanoate-oligomer endohydrolase</t>
        </is>
      </c>
      <c r="T449" s="5" t="inlineStr">
        <is>
          <t>-</t>
        </is>
      </c>
      <c r="U449" s="5">
        <f>FALSE()</f>
        <v/>
      </c>
      <c r="V449" s="5">
        <f>TRUE()</f>
        <v/>
      </c>
      <c r="W449" s="5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  <c r="X449" s="5" t="n">
        <v>1</v>
      </c>
      <c r="Y449" s="5" t="inlineStr">
        <is>
          <t>NylC</t>
        </is>
      </c>
      <c r="Z449" s="5" t="inlineStr">
        <is>
          <t>WP_012476895.1</t>
        </is>
      </c>
      <c r="AA449" s="5" t="inlineStr">
        <is>
          <t>Direct</t>
        </is>
      </c>
      <c r="AB449" s="5" t="n">
        <v>61</v>
      </c>
      <c r="AC449" s="5" t="inlineStr">
        <is>
          <t>10.1128/jb.174.24.7948-7953.1992; 10.1128/aem.59.11.3978-3980.1993; 10.1038/s41467-024-45523-5</t>
        </is>
      </c>
      <c r="AD449" s="5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  <c r="AE449" s="5" t="inlineStr">
        <is>
          <t>Paenarthrobacter ureafaciens</t>
        </is>
      </c>
      <c r="AF449" s="5" t="n">
        <v>37931</v>
      </c>
      <c r="AG449" s="5" t="inlineStr">
        <is>
          <t>supp_unavailable</t>
        </is>
      </c>
      <c r="AH449" s="5" t="inlineStr">
        <is>
          <t>ncbi</t>
        </is>
      </c>
      <c r="AI449" s="5" t="n"/>
      <c r="AJ449" s="5" t="n"/>
      <c r="AK449" s="5" t="n"/>
      <c r="AL449" s="5" t="n">
        <v>1</v>
      </c>
    </row>
    <row r="450" ht="15" customHeight="1" s="12">
      <c r="A450" s="5" t="inlineStr">
        <is>
          <t>both</t>
        </is>
      </c>
      <c r="B450" s="5" t="inlineStr">
        <is>
          <t>MNTTPVHALTDIDGGIAVDPAPRLAGPPVFGGPGNDAFDLAPVRSTGREMLRFDFPGVSIGAAHYEEGPTGATVIHIPAGARTAVDARGGAVGLSGGYDFNHAICLAGGASYGLEAGAGVSGALLERLEYRTGFAEAQLVSSAVIYDFSARSTAVYPDKALGRAALEFAVPGEFPQGRAGAGMSASAGKVDWDRTEITGQGAAFRRLGDVRILAVVVPNPVGVIMDRAGTVVRGNYDAQTGVRRHPVFDYQEAFAEQVPPVTEAGNTTISAIVTNVRMSPVELNQFAKQVHSSMHRGIQPFHTDMDGDTLFAVTTDEIDLPTTPGSSRGRLSVNATALGAIASEVMWDAVLEAGK</t>
        </is>
      </c>
      <c r="C450" s="5" t="n">
        <v>179</v>
      </c>
      <c r="D450" s="5" t="inlineStr">
        <is>
          <t>Q1EPR5.2</t>
        </is>
      </c>
      <c r="E450" s="5" t="n">
        <v>9</v>
      </c>
      <c r="F450" s="5" t="inlineStr">
        <is>
          <t>NylC</t>
        </is>
      </c>
      <c r="G450" s="5" t="inlineStr">
        <is>
          <t>L-amino peptidase D-ALA esterase/amidase</t>
        </is>
      </c>
      <c r="H450" s="5" t="inlineStr">
        <is>
          <t>3.60.70.12</t>
        </is>
      </c>
      <c r="I450" s="5" t="inlineStr">
        <is>
          <t>Bacteria</t>
        </is>
      </c>
      <c r="J450" s="5" t="inlineStr">
        <is>
          <t>Agromyces sp. KY5R</t>
        </is>
      </c>
      <c r="K450" s="5" t="inlineStr">
        <is>
          <t>NylC</t>
        </is>
      </c>
      <c r="L450" s="5" t="inlineStr">
        <is>
          <t>PA</t>
        </is>
      </c>
      <c r="M450" s="5" t="inlineStr">
        <is>
          <t>-</t>
        </is>
      </c>
      <c r="N450" s="5" t="inlineStr">
        <is>
          <t>Yasuhira, 2007; Bell, 2024</t>
        </is>
      </c>
      <c r="O450" s="5" t="inlineStr">
        <is>
          <t>Q1EPR5</t>
        </is>
      </c>
      <c r="P450" s="5" t="inlineStr">
        <is>
          <t>Q1EPR5.2</t>
        </is>
      </c>
      <c r="Q450" s="5" t="inlineStr">
        <is>
          <t>3AXG</t>
        </is>
      </c>
      <c r="R450" s="5" t="inlineStr">
        <is>
          <t>Q1EPR5</t>
        </is>
      </c>
      <c r="S450" s="5" t="inlineStr">
        <is>
          <t>6-aminohexanoate-oligomer endohydrolase</t>
        </is>
      </c>
      <c r="T450" s="5" t="inlineStr">
        <is>
          <t>-</t>
        </is>
      </c>
      <c r="U450" s="5">
        <f>FALSE()</f>
        <v/>
      </c>
      <c r="V450" s="5">
        <f>TRUE()</f>
        <v/>
      </c>
      <c r="W450" s="5" t="inlineStr">
        <is>
          <t>MNTTPVHALTDIDGGIAVDPAPRLAGPPVFGGPGNDAFDLAPVRSTGREMLRFDFPGVSIGAAHYEEGPTGATVIHIPAGARTAVDARGGAVGLSGGYDFNHAICLAGGASYGLEAGAGVSGALLERLEYRTGFAEAQLVSSAVIYDFSARSTAVYPDKALGRAALEFAVPGEFPQGRAGAGMSASAGKVDWDRTEITGQGAAFRRLGDVRILAVVVPNPVGVIMDRAGTVVRGNYDAQTGVRRHPVFDYQEAFAEQVPPVTEAGNTTISAIVTNVRMSPVELNQFAKQVHSSMHRGIQPFHTDMDGDTLFAVTTDEIDLPTTPGSSRGRLSVNATALGAIASEVMWDAVLEAGK</t>
        </is>
      </c>
      <c r="X450" s="5" t="n">
        <v>1</v>
      </c>
      <c r="Y450" s="5" t="inlineStr">
        <is>
          <t>NylCA</t>
        </is>
      </c>
      <c r="Z450" s="5" t="inlineStr">
        <is>
          <t>BAE95769.2</t>
        </is>
      </c>
      <c r="AA450" s="5" t="inlineStr">
        <is>
          <t>Direct</t>
        </is>
      </c>
      <c r="AB450" s="5" t="n">
        <v>62</v>
      </c>
      <c r="AC450" s="5" t="inlineStr">
        <is>
          <t>10.1128/aem.00777-07; 10.1038/s41467-024-45523-5</t>
        </is>
      </c>
      <c r="AD450" s="5" t="inlineStr">
        <is>
          <t>MNTTPVHALTDIDGGIAVDPAPRLAGPPVFGGPGNDAFDLAPVRSTGREMLRFDFPGVSIGAAHYEEGPTGATVIHIPAGARTAVDARGGAVGLSGGYDFNHAICLAGGASYGLEAGAGVSGALLERLEYRTGFAEAQLVSSAVIYDFSARSTAVYPDKALGRAALEFAVPGEFPQGRAGAGMSASAGKVDWDRTEITGQGAAFRRLGDVRILAVVVPNPVGVIMDRAGTVVRGNYDAQTGVRRHPVFDYQEAFAEQVPPVTEAGNTTISAIVTNVRMSPVELNQFAKQVHSSMHRGIQPFHTDMDGDTLFAVTTDEIDLPTTPGSSRGRLSVNATALGAIASEVMWDAVLEAGK</t>
        </is>
      </c>
      <c r="AE450" s="5" t="inlineStr">
        <is>
          <t>Agromyces sp. KY5R</t>
        </is>
      </c>
      <c r="AF450" s="5" t="n">
        <v>388924</v>
      </c>
      <c r="AG450" s="5" t="inlineStr">
        <is>
          <t>supp_unavailable</t>
        </is>
      </c>
      <c r="AH450" s="5" t="inlineStr">
        <is>
          <t>ncbi</t>
        </is>
      </c>
      <c r="AI450" s="5" t="n"/>
      <c r="AJ450" s="5" t="n"/>
      <c r="AK450" s="5" t="n"/>
      <c r="AL450" s="5" t="n">
        <v>1</v>
      </c>
    </row>
    <row r="451" ht="15" customHeight="1" s="12">
      <c r="A451" s="5" t="inlineStr">
        <is>
          <t>both</t>
        </is>
      </c>
      <c r="B451" s="5" t="inlineStr">
        <is>
          <t>MPFNKKSVLALCGAGALLFSMSALANNPAPTDPGDSGGGSAYQRGPDPSVSFLEADRGQYSVRSSRVSSLVSGFGGGTIYYPTGTTGTMGAVVVIPGFVSAESSIDWWGPKLASYGFVVMTIDTNTGFDQPPSRARQINNALDYLVSQNSRSSSPVRGMIDTNRLGVIGWSMGGGGTLRVASEGRIKAAIPLAPWDTTSYYASRSQAPTLIFACESDVIAPVLQHASPFYNSLPSSIDKAFVEINGGSHYCGNGGSIYNDVLSRFGVSWMKLHLDEDSRYKQFLCGPNHTSDSQISDYRGNCPY</t>
        </is>
      </c>
      <c r="C451" s="5" t="n">
        <v>76</v>
      </c>
      <c r="D451" s="5" t="inlineStr">
        <is>
          <t>WP_088276085.1</t>
        </is>
      </c>
      <c r="E451" s="5" t="n">
        <v>1</v>
      </c>
      <c r="F451" s="5" t="inlineStr">
        <is>
          <t>Ipet</t>
        </is>
      </c>
      <c r="G451" s="5" t="inlineStr">
        <is>
          <t>Alpha/Beta Hydrolase</t>
        </is>
      </c>
      <c r="H451" s="5" t="inlineStr">
        <is>
          <t>3.40.50.1820</t>
        </is>
      </c>
      <c r="I451" s="5" t="inlineStr">
        <is>
          <t>Bacteria</t>
        </is>
      </c>
      <c r="J451" s="5" t="inlineStr">
        <is>
          <t>Pseudomonas pelagia DSM 25163</t>
        </is>
      </c>
      <c r="K451" s="5" t="inlineStr">
        <is>
          <t>PpelaLip</t>
        </is>
      </c>
      <c r="L451" s="5" t="inlineStr">
        <is>
          <t>PET</t>
        </is>
      </c>
      <c r="M451" s="5" t="inlineStr">
        <is>
          <t>EC 3.1.1.1</t>
        </is>
      </c>
      <c r="N451" s="5" t="inlineStr">
        <is>
          <t>Bollinger, 2020</t>
        </is>
      </c>
      <c r="O451" s="5" t="inlineStr">
        <is>
          <t>A0A1H6AD45</t>
        </is>
      </c>
      <c r="P451" s="5" t="inlineStr">
        <is>
          <t>WP_088276085.1</t>
        </is>
      </c>
      <c r="Q451" s="5" t="inlineStr">
        <is>
          <t>6SBN</t>
        </is>
      </c>
      <c r="R451" s="5" t="inlineStr">
        <is>
          <t>A0A1H6AD45</t>
        </is>
      </c>
      <c r="S451" s="5" t="inlineStr">
        <is>
          <t>dienelactone hydrolase family protein</t>
        </is>
      </c>
      <c r="T451" s="5" t="inlineStr">
        <is>
          <t>Halopseudomonas aestusnigri</t>
        </is>
      </c>
      <c r="U451" s="5">
        <f>FALSE()</f>
        <v/>
      </c>
      <c r="V451" s="5">
        <f>TRUE()</f>
        <v/>
      </c>
      <c r="W451" s="5" t="inlineStr">
        <is>
          <t>MPFNKKSVLALCGAGALLFSMSALANNPAPTDPGDSGGGSAYQRGPDPSVSFLEADRGQYSVRSSRVSSLVSGFGGGTIYYPTGTTGTMGAVVVIPGFVSAESSIDWWGPKLASYGFVVMTIDTNTGFDQPPSRARQINNALDYLVSQNSRSSSPVRGMIDTNRLGVIGWSMGGGGTLRVASEGRIKAAIPLAPWDTTSYYASRSQAPTLIFACESDVIAPVLQHASPFYNSLPSSIDKAFVEINGGSHYCGNGGSIYNDVLSRFGVSWMKLHLDEDSRYKQFLCGPNHTSDSQISDYRGNCPY</t>
        </is>
      </c>
      <c r="X451" s="5" t="n">
        <v>1</v>
      </c>
      <c r="Y451" s="5" t="inlineStr">
        <is>
          <t>PE-H</t>
        </is>
      </c>
      <c r="Z451" s="5" t="inlineStr">
        <is>
          <t>WP_088276085.1</t>
        </is>
      </c>
      <c r="AA451" s="5" t="inlineStr">
        <is>
          <t>Direct</t>
        </is>
      </c>
      <c r="AB451" s="5" t="n">
        <v>9</v>
      </c>
      <c r="AC451" s="5" t="inlineStr">
        <is>
          <t>10.3389/fmicb.2020.00114</t>
        </is>
      </c>
      <c r="AD451" s="5" t="inlineStr">
        <is>
          <t>MPFNKKSVLALCGAGALLFSMSALANNPAPTDPGDSGGGSAYQRGPDPSVSFLEADRGQYSVRSSRVSSLVSGFGGGTIYYPTGTTGTMGAVVVIPGFVSAESSIDWWGPKLASYGFVVMTIDTNTGFDQPPSRARQINNALDYLVSQNSRSSSPVRGMIDTNRLGVIGWSMGGGGTLRVASEGRIKAAIPLAPWDTTSYYASRSQAPTLIFACESDVIAPVLQHASPFYNSLPSSIDKAFVEINGGSHYCGNGGSIYNDVLSRFGVSWMKLHLDEDSRYKQFLCGPNHTSDSQISDYRGNCPY</t>
        </is>
      </c>
      <c r="AE451" s="5" t="inlineStr">
        <is>
          <t>Halopseudomonas aestusnigri</t>
        </is>
      </c>
      <c r="AF451" s="5" t="n">
        <v>857252</v>
      </c>
      <c r="AG451" s="5" t="inlineStr">
        <is>
          <t>supp_unavailable</t>
        </is>
      </c>
      <c r="AH451" s="5" t="inlineStr">
        <is>
          <t>ncbi</t>
        </is>
      </c>
      <c r="AI451" s="5" t="n"/>
      <c r="AJ451" s="5" t="n"/>
      <c r="AK451" s="5" t="n"/>
      <c r="AL451" s="5" t="n">
        <v>1</v>
      </c>
    </row>
    <row r="452" ht="15" customHeight="1" s="12">
      <c r="A452" s="5" t="inlineStr">
        <is>
          <t>both</t>
        </is>
      </c>
      <c r="B452" s="5" t="inlineStr">
        <is>
          <t>MPITARNTLASLLLASSALLLSGTAFAANPPGGDPDPGCQTDCNYQRGPDPTDAYLEAASGPYTVSTIRVSSLVPGFGGGTIHYPTNAGGGKMAGIVVIPGYLSFESSIEWWGPRLASHGFVVMTIDTNTIYDQPSQRRDQIEAALQYLVNQSNSSSSPISGMVDSSRLAAVGWSMGGGGTLQLAADGGIKAAIALAPWNSSINDFNRIQVPTLIFACQLDAIAPVALHASPFYNRIPNTTPKAFFEMTGGDHWCANGGNIYSALLGKYGVSWMKLHLDQDTRYAPFLCGPNHAAQTLISEYRGNCPY</t>
        </is>
      </c>
      <c r="C452" s="5" t="n">
        <v>89</v>
      </c>
      <c r="D452" s="5" t="inlineStr">
        <is>
          <t>ACC95208.1</t>
        </is>
      </c>
      <c r="E452" s="5" t="n">
        <v>1</v>
      </c>
      <c r="F452" s="5" t="inlineStr">
        <is>
          <t>Ipet</t>
        </is>
      </c>
      <c r="G452" s="5" t="inlineStr">
        <is>
          <t>Alpha/Beta Hydrolase</t>
        </is>
      </c>
      <c r="H452" s="5" t="inlineStr">
        <is>
          <t>3.40.50.1820</t>
        </is>
      </c>
      <c r="I452" s="5" t="inlineStr">
        <is>
          <t>Metagenome</t>
        </is>
      </c>
      <c r="J452" s="5" t="inlineStr">
        <is>
          <t>Metagenome</t>
        </is>
      </c>
      <c r="K452" s="5" t="inlineStr">
        <is>
          <t>PET2; lipIAF5-2</t>
        </is>
      </c>
      <c r="L452" s="5" t="inlineStr">
        <is>
          <t>PET</t>
        </is>
      </c>
      <c r="M452" s="5" t="inlineStr">
        <is>
          <t>EC 3.1.1.1</t>
        </is>
      </c>
      <c r="N452" s="5" t="inlineStr">
        <is>
          <t>Danso, 2018, Nakamura, 2021</t>
        </is>
      </c>
      <c r="O452" s="5" t="inlineStr">
        <is>
          <t>ACC95208.1</t>
        </is>
      </c>
      <c r="P452" s="5" t="inlineStr">
        <is>
          <t>ACC95208.1</t>
        </is>
      </c>
      <c r="Q452" s="5" t="inlineStr">
        <is>
          <t>7ECB</t>
        </is>
      </c>
      <c r="R452" s="5" t="inlineStr">
        <is>
          <t>ACC95208.1</t>
        </is>
      </c>
      <c r="S452" s="5" t="inlineStr">
        <is>
          <t>lipIAF5-2</t>
        </is>
      </c>
      <c r="T452" s="5" t="inlineStr">
        <is>
          <t>uncultured bacterium</t>
        </is>
      </c>
      <c r="U452" s="5">
        <f>FALSE()</f>
        <v/>
      </c>
      <c r="V452" s="5">
        <f>TRUE()</f>
        <v/>
      </c>
      <c r="W452" s="5" t="inlineStr">
        <is>
          <t>MPITARNTLASLLLASSALLLSGTAFAANPPGGDPDPGCQTDCNYQRGPDPTDAYLEAASGPYTVSTIRVSSLVPGFGGGTIHYPTNAGGGKMAGIVVIPGYLSFESSIEWWGPRLASHGFVVMTIDTNTIYDQPSQRRDQIEAALQYLVNQSNSSSSPISGMVDSSRLAAVGWSMGGGGTLQLAADGGIKAAIALAPWNSSINDFNRIQVPTLIFACQLDAIAPVALHASPFYNRIPNTTPKAFFEMTGGDHWCANGGNIYSALLGKYGVSWMKLHLDQDTRYAPFLCGPNHAAQTLISEYRGNCPY</t>
        </is>
      </c>
      <c r="X452" s="5" t="n">
        <v>1</v>
      </c>
      <c r="Y452" s="5" t="inlineStr">
        <is>
          <t>PET2</t>
        </is>
      </c>
      <c r="Z452" s="5" t="inlineStr">
        <is>
          <t>ACC95208.1</t>
        </is>
      </c>
      <c r="AA452" s="5" t="inlineStr">
        <is>
          <t>Direct</t>
        </is>
      </c>
      <c r="AB452" s="5" t="n">
        <v>40</v>
      </c>
      <c r="AC452" s="5" t="inlineStr">
        <is>
          <t>10.1128/aem.02773-17; 10.1021/acscatal.1c01204</t>
        </is>
      </c>
      <c r="AD452" s="5" t="inlineStr">
        <is>
          <t>MPITARNTLASLLLASSALLLSGTAFAANPPGGDPDPGCQTDCNYQRGPDPTDAYLEAASGPYTVSTIRVSSLVPGFGGGTIHYPTNAGGGKMAGIVVIPGYLSFESSIEWWGPRLASHGFVVMTIDTNTIYDQPSQRRDQIEAALQYLVNQSNSSSSPISGMVDSSRLAAVGWSMGGGGTLQLAADGGIKAAIALAPWNSSINDFNRIQVPTLIFACQLDAIAPVALHASPFYNRIPNTTPKAFFEMTGGDHWCANGGNIYSALLGKYGVSWMKLHLDQDTRYAPFLCGPNHAAQTLISEYRGNCPY</t>
        </is>
      </c>
      <c r="AE452" s="5" t="inlineStr">
        <is>
          <t>Metagenome-derived with  no obvious affiliation</t>
        </is>
      </c>
      <c r="AF452" s="5" t="n"/>
      <c r="AG452" s="5" t="inlineStr">
        <is>
          <t>supp_unavailable</t>
        </is>
      </c>
      <c r="AH452" s="5" t="inlineStr">
        <is>
          <t>ncbi</t>
        </is>
      </c>
      <c r="AI452" s="5" t="n"/>
      <c r="AJ452" s="5" t="n"/>
      <c r="AK452" s="5" t="n"/>
      <c r="AL452" s="5" t="n">
        <v>1</v>
      </c>
    </row>
    <row r="453" ht="15" customHeight="1" s="12">
      <c r="A453" s="5" t="inlineStr">
        <is>
          <t>both</t>
        </is>
      </c>
      <c r="B453" s="5" t="inlineStr">
        <is>
          <t>MPLDPNYPRDLIGYGRHPVQANWPGRARVAVQFVLNYEEGGENCVLHGDPGSEQFLSEIVGAASFPARHMSMESIYEYGSRAGVWRILREFEKRKLPLTVFGVGMAVERHPELARAFVELGHEIACHGYRWIHYQDMAPEKEAEHMRLGMEAIERVTGERPLGWYTGRDSPNTRRLVAEYGGFLYDSDYYGDDLPFWMDVDVTGGAKVPQLIVPYTLDTNDMRFASPQGFNTADHFFTYLRDAFDVLYEEGDEAPKMLSIGMHCRLLGRPGRFRALQRFLDHIEQHDRVWVTRRVDIARHWREHHPYQQNNRGAAA</t>
        </is>
      </c>
      <c r="C453" s="5" t="n">
        <v>213</v>
      </c>
      <c r="D453" s="5" t="inlineStr">
        <is>
          <t>ACD16728.1</t>
        </is>
      </c>
      <c r="E453" s="5" t="n">
        <v>19</v>
      </c>
      <c r="F453" s="5" t="inlineStr">
        <is>
          <t>UraB</t>
        </is>
      </c>
      <c r="G453" s="5" t="inlineStr">
        <is>
          <t>Uridase-like</t>
        </is>
      </c>
      <c r="H453" s="5" t="inlineStr">
        <is>
          <t>TBDZ</t>
        </is>
      </c>
      <c r="I453" s="5" t="inlineStr">
        <is>
          <t>Bacteria</t>
        </is>
      </c>
      <c r="J453" s="5" t="inlineStr">
        <is>
          <t>Burkholderia phytofirmans DSM17436</t>
        </is>
      </c>
      <c r="K453" s="5" t="inlineStr">
        <is>
          <t>PURase</t>
        </is>
      </c>
      <c r="L453" s="5" t="inlineStr">
        <is>
          <t>PUR</t>
        </is>
      </c>
      <c r="M453" s="5" t="inlineStr">
        <is>
          <t>-</t>
        </is>
      </c>
      <c r="N453" s="5" t="inlineStr">
        <is>
          <t>Kang, 2021;</t>
        </is>
      </c>
      <c r="O453" s="5" t="inlineStr">
        <is>
          <t>ACD16728.1</t>
        </is>
      </c>
      <c r="P453" s="5" t="inlineStr">
        <is>
          <t>ACD16728.1</t>
        </is>
      </c>
      <c r="Q453" s="5" t="inlineStr">
        <is>
          <t>-</t>
        </is>
      </c>
      <c r="R453" s="5" t="inlineStr">
        <is>
          <t>B2T567</t>
        </is>
      </c>
      <c r="S453" s="5" t="inlineStr">
        <is>
          <t>urate catabolism protein</t>
        </is>
      </c>
      <c r="T453" s="5" t="inlineStr">
        <is>
          <t>Paraburkholderia phytofirmans PsJN</t>
        </is>
      </c>
      <c r="U453" s="5">
        <f>FALSE()</f>
        <v/>
      </c>
      <c r="V453" s="5">
        <f>TRUE()</f>
        <v/>
      </c>
      <c r="W453" s="5" t="inlineStr">
        <is>
          <t>MPLDPNYPRDLIGYGRHPVQANWPGRARVAVQFVLNYEEGGENCVLHGDPGSEQFLSEIVGAASFPARHMSMESIYEYGSRAGVWRILREFEKRKLPLTVFGVGMAVERHPELARAFVELGHEIACHGYRWIHYQDMAPEKEAEHMRLGMEAIERVTGERPLGWYTGRDSPNTRRLVAEYGGFLYDSDYYGDDLPFWMDVDVTGGAKVPQLIVPYTLDTNDMRFASPQGFNTADHFFTYLRDAFDVLYEEGDEAPKMLSIGMHCRLLGRPGRFRALQRFLDHIEQHDRVWVTRRVDIARHWREHHPYQQNNRGAAA</t>
        </is>
      </c>
      <c r="X453" s="5" t="n">
        <v>1</v>
      </c>
      <c r="Y453" s="5" t="inlineStr">
        <is>
          <t>Amidase</t>
        </is>
      </c>
      <c r="Z453" s="5" t="inlineStr">
        <is>
          <t>WP_012433325.1</t>
        </is>
      </c>
      <c r="AA453" s="5" t="inlineStr">
        <is>
          <t>Indirect</t>
        </is>
      </c>
      <c r="AB453" s="5" t="n">
        <v>164</v>
      </c>
      <c r="AC453" s="5" t="inlineStr">
        <is>
          <t>10.1016/j.jbiosc.2021.05.003</t>
        </is>
      </c>
      <c r="AD453" s="5" t="inlineStr">
        <is>
          <t>MPLDPNYPRDLIGYGRHPVQANWPGRARVAVQFVLNYEEGGENCVLHGDPGSEQFLSEIVGAASFPARHMSMESIYEYGSRAGVWRILREFEKRKLPLTVFGVGMAVERHPELARAFVELGHEIACHGYRWIHYQDMAPEKEAEHMRLGMEAIERVTGERPLGWYTGRDSPNTRRLVAEYGGFLYDSDYYGDDLPFWMDVDVTGGAKVPQLIVPYTLDTNDMRFASPQGFNTADHFFTYLRDAFDVLYEEGDEAPKMLSIGMHCRLLGRPGRFRALQRFLDHIEQHDRVWVTRRVDIARHWREHHPYQQNNRGAAA</t>
        </is>
      </c>
      <c r="AE453" s="5" t="inlineStr">
        <is>
          <t>Paraburkholderia phytofirmans</t>
        </is>
      </c>
      <c r="AF453" s="5" t="n">
        <v>261302</v>
      </c>
      <c r="AG453" s="5" t="inlineStr">
        <is>
          <t>supp_unavailable</t>
        </is>
      </c>
      <c r="AH453" s="5" t="inlineStr">
        <is>
          <t>ncbi</t>
        </is>
      </c>
      <c r="AI453" s="5" t="n"/>
      <c r="AJ453" s="5" t="n"/>
      <c r="AK453" s="5" t="n"/>
      <c r="AL453" s="5" t="n">
        <v>1</v>
      </c>
    </row>
    <row r="454" ht="15" customHeight="1" s="12">
      <c r="A454" s="5" t="inlineStr">
        <is>
          <t>both</t>
        </is>
      </c>
      <c r="B454" s="5" t="inlineStr">
        <is>
          <t>MPPDCVLPRRLAAAALLASATLVPLSAAAQTNPYQRGPDPTTRDLEDSRGPFRYASTNVRSPSGYGAGTIYYPTDVSGSVGAVAVVPGYLARQSSIRWWGPRLASHGFVVITLDTRSTSDQPASRSAQQMAALRQVVALSETRSSPIYGKVDPNRLAVMGWSMGGGGTLISARDNPSLKAAVPFAPWHNTANFSGVQVPTLVIACENDTVAPISRHASSFYNSFSSSLAKAYLEINNGSHTCANTGNSNQALIGKYGVAWIKRFVDNDTRYSPFLCGAPHQADLRSSRLSEYRESCPY</t>
        </is>
      </c>
      <c r="C454" s="5" t="n">
        <v>18</v>
      </c>
      <c r="D454" s="5" t="inlineStr">
        <is>
          <t>AKJ29164.1</t>
        </is>
      </c>
      <c r="E454" s="5" t="n">
        <v>1</v>
      </c>
      <c r="F454" s="5" t="inlineStr">
        <is>
          <t>Ipet</t>
        </is>
      </c>
      <c r="G454" s="5" t="inlineStr">
        <is>
          <t>Alpha/Beta Hydrolase</t>
        </is>
      </c>
      <c r="H454" s="5" t="inlineStr">
        <is>
          <t>3.40.50.1820</t>
        </is>
      </c>
      <c r="I454" s="5" t="inlineStr">
        <is>
          <t>Bacteria</t>
        </is>
      </c>
      <c r="J454" s="5" t="inlineStr">
        <is>
          <t>Vibrio gazogenes</t>
        </is>
      </c>
      <c r="K454" s="5" t="inlineStr">
        <is>
          <t>PET6; BSQ33_03270</t>
        </is>
      </c>
      <c r="L454" s="5" t="inlineStr">
        <is>
          <t>PET</t>
        </is>
      </c>
      <c r="M454" s="5" t="inlineStr">
        <is>
          <t>EC 3.1.1.1</t>
        </is>
      </c>
      <c r="N454" s="5" t="inlineStr">
        <is>
          <t>Danso, 2018; Chen, 2021; Avilan,2023</t>
        </is>
      </c>
      <c r="O454" s="5" t="inlineStr">
        <is>
          <t>A0A0G3BI90_9BURK</t>
        </is>
      </c>
      <c r="P454" s="5" t="inlineStr">
        <is>
          <t>AKJ29164.1</t>
        </is>
      </c>
      <c r="Q454" s="5" t="inlineStr">
        <is>
          <t>-</t>
        </is>
      </c>
      <c r="R454" s="5" t="inlineStr">
        <is>
          <t>A0A0G3BI90_9BURK</t>
        </is>
      </c>
      <c r="S454" s="5" t="inlineStr">
        <is>
          <t>triacylglycerol lipase</t>
        </is>
      </c>
      <c r="T454" s="5" t="inlineStr">
        <is>
          <t>Caldimonas brevitalea</t>
        </is>
      </c>
      <c r="U454" s="5">
        <f>FALSE()</f>
        <v/>
      </c>
      <c r="V454" s="5">
        <f>TRUE()</f>
        <v/>
      </c>
      <c r="W454" s="5" t="inlineStr">
        <is>
          <t>MPPDCVLPRRLAAAALLASATLVPLSAAAQTNPYQRGPDPTTRDLEDSRGPFRYASTNVRSPSGYGAGTIYYPTDVSGSVGAVAVVPGYLARQSSIRWWGPRLASHGFVVITLDTRSTSDQPASRSAQQMAALRQVVALSETRSSPIYGKVDPNRLAVMGWSMGGGGTLISARDNPSLKAAVPFAPWHNTANFSGVQVPTLVIACENDTVAPISRHASSFYNSFSSSLAKAYLEINNGSHTCANTGNSNQALIGKYGVAWIKRFVDNDTRYSPFLCGAPHQADLRSSRLSEYRESCPY</t>
        </is>
      </c>
      <c r="X454" s="5" t="n">
        <v>1</v>
      </c>
      <c r="Y454" s="5" t="inlineStr">
        <is>
          <t>PET12</t>
        </is>
      </c>
      <c r="Z454" s="5" t="inlineStr">
        <is>
          <t>WP_047194864.1</t>
        </is>
      </c>
      <c r="AA454" s="5" t="inlineStr">
        <is>
          <t>Direct</t>
        </is>
      </c>
      <c r="AB454" s="5" t="n">
        <v>4</v>
      </c>
      <c r="AC454" s="5" t="inlineStr">
        <is>
          <t>10.1128/aem.02773-17; 10.1038/s41929-021-00616-y; 10.1002/cssc.202202277</t>
        </is>
      </c>
      <c r="AD454" s="5" t="inlineStr">
        <is>
          <t>MPPDCVLPRRLAAAALLASATLVPLSAAAQTNPYQRGPDPTTRDLEDSRGPFRYASTNVRSPSGYGAGTIYYPTDVSGSVGAVAVVPGYLARQSSIRWWGPRLASHGFVVITLDTRSTSDQPASRSAQQMAALRQVVALSETRSSPIYGKVDPNRLAVMGWSMGGGGTLISARDNPSLKAAVPFAPWHNTANFSGVQVPTLVIACENDTVAPISRHASSFYNSFSSSLAKAYLEINNGSHTCANTGNSNQALIGKYGVAWIKRFVDNDTRYSPFLCGAPHQADLRSSRLSEYRESCPY</t>
        </is>
      </c>
      <c r="AE454" s="5" t="inlineStr">
        <is>
          <t>Caldimonas brevitalea</t>
        </is>
      </c>
      <c r="AF454" s="5" t="n">
        <v>413882</v>
      </c>
      <c r="AG454" s="5" t="inlineStr">
        <is>
          <t>supp_unavailable</t>
        </is>
      </c>
      <c r="AH454" s="5" t="inlineStr">
        <is>
          <t>ncbi</t>
        </is>
      </c>
      <c r="AI454" s="5" t="n"/>
      <c r="AJ454" s="5" t="n"/>
      <c r="AK454" s="5" t="n"/>
      <c r="AL454" s="5" t="n">
        <v>1</v>
      </c>
    </row>
    <row r="455" ht="15" customHeight="1" s="12">
      <c r="A455" s="5" t="inlineStr">
        <is>
          <t>both</t>
        </is>
      </c>
      <c r="B455" s="5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C455" s="5" t="inlineStr">
        <is>
          <t>14;45</t>
        </is>
      </c>
      <c r="D455" s="5" t="inlineStr">
        <is>
          <t>AET05798.1;Q47RJ7.1</t>
        </is>
      </c>
      <c r="E455" s="5" t="n">
        <v>1</v>
      </c>
      <c r="F455" s="5" t="inlineStr">
        <is>
          <t>Ipet</t>
        </is>
      </c>
      <c r="G455" s="5" t="inlineStr">
        <is>
          <t>Alpha/Beta Hydrolase</t>
        </is>
      </c>
      <c r="H455" s="5" t="inlineStr">
        <is>
          <t>3.40.50.1820</t>
        </is>
      </c>
      <c r="I455" s="5" t="inlineStr">
        <is>
          <t>Bacteria</t>
        </is>
      </c>
      <c r="J455" s="5" t="inlineStr">
        <is>
          <t>Thermobifida fusca NRRL B-8184;Thermobifida fusca YX</t>
        </is>
      </c>
      <c r="K455" s="5" t="inlineStr">
        <is>
          <t>Cut1;WSH03-11; Tfu_0882</t>
        </is>
      </c>
      <c r="L455" s="5" t="inlineStr">
        <is>
          <t>PET</t>
        </is>
      </c>
      <c r="M455" s="5" t="inlineStr">
        <is>
          <t>EC 3.1.1.74</t>
        </is>
      </c>
      <c r="N455" s="5" t="inlineStr">
        <is>
          <t>Hedge, 2013;Chen, 2008</t>
        </is>
      </c>
      <c r="O455" s="5" t="inlineStr">
        <is>
          <t>JN129499.1;Q47RJ7_THEFY</t>
        </is>
      </c>
      <c r="P455" s="5" t="inlineStr">
        <is>
          <t>AET05798.1;Q47RJ7</t>
        </is>
      </c>
      <c r="Q455" s="5" t="inlineStr">
        <is>
          <t>-</t>
        </is>
      </c>
      <c r="R455" s="5" t="inlineStr">
        <is>
          <t>G8GER6;Q47RJ7_THEFY</t>
        </is>
      </c>
      <c r="S455" s="5" t="inlineStr">
        <is>
          <t>cutinase;Cutinase</t>
        </is>
      </c>
      <c r="T455" s="5" t="inlineStr">
        <is>
          <t>Thermobifida fusca;-</t>
        </is>
      </c>
      <c r="U455" s="5">
        <f>FALSE()</f>
        <v/>
      </c>
      <c r="V455" s="5">
        <f>TRUE()</f>
        <v/>
      </c>
      <c r="W455" s="5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X455" s="5" t="n">
        <v>2</v>
      </c>
      <c r="Y455" s="5" t="inlineStr">
        <is>
          <t>Cut1;Tfu_0882</t>
        </is>
      </c>
      <c r="Z455" s="5" t="inlineStr">
        <is>
          <t>AET05798.1;AAZ54920.1</t>
        </is>
      </c>
      <c r="AA455" s="5" t="inlineStr">
        <is>
          <t>Direct</t>
        </is>
      </c>
      <c r="AB455" s="5" t="inlineStr">
        <is>
          <t>26;23</t>
        </is>
      </c>
      <c r="AC455" s="5" t="inlineStr">
        <is>
          <t>10.1007/s12010-013-0219-x;10.1074/jbc.m800848200</t>
        </is>
      </c>
      <c r="AD455" s="5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AE455" s="5" t="inlineStr">
        <is>
          <t>Thermobifida fusca</t>
        </is>
      </c>
      <c r="AF455" s="5" t="n">
        <v>2021</v>
      </c>
      <c r="AG455" s="5" t="inlineStr">
        <is>
          <t>supp_unavailable</t>
        </is>
      </c>
      <c r="AH455" s="5" t="inlineStr">
        <is>
          <t>ncbi</t>
        </is>
      </c>
      <c r="AI455" s="5" t="n"/>
      <c r="AJ455" s="5" t="n"/>
      <c r="AK455" s="5" t="n"/>
      <c r="AL455" s="5" t="n">
        <v>2</v>
      </c>
    </row>
    <row r="456" ht="15" customHeight="1" s="12">
      <c r="A456" s="5" t="inlineStr">
        <is>
          <t>both</t>
        </is>
      </c>
      <c r="B456" s="5" t="inlineStr">
        <is>
          <t>MPRQNGFRHQSYPTRPAVDPVVLTLDGDAVQSLDFGHLHTQFGVRKVLLVHGTFAGADPFGIHAMMRAGAETLPAAAQRAANPVIDRLSDQTKKLTDAITADVANYSDGYRKRFQTLVGDDPEVSRLEPTWSSENNHIARAGLAIRLFNELVELQAEGFDSEHERVLLWGHSHAGNGFAILSNLLANDRQSVEAFFEAAGDSLGKAGNFARRALAAAPTPHPMAKAALVVTFGTPVRYGWDLDGVRSLVHVIHHRQMKDEPDPTAIIPAVTFGCEGNSLGDNFKAATTGVADVLAAKHGDWVQAFAIAGTDIAPPLKRKDNARLGAFLERGLSEPTPQKLKEKLKVTCARWKTRTRLHTDGRNLLIDYDSAQLTRFGPARQAVLGHGIYTLKDWLPSQLSLVLKWMEHDGA</t>
        </is>
      </c>
      <c r="C456" s="5" t="n">
        <v>212</v>
      </c>
      <c r="D456" s="5" t="inlineStr">
        <is>
          <t>AKJ87250.1</t>
        </is>
      </c>
      <c r="E456" s="5" t="n">
        <v>18</v>
      </c>
      <c r="F456" s="5" t="inlineStr">
        <is>
          <t>Mcyc</t>
        </is>
      </c>
      <c r="G456" s="5" t="inlineStr">
        <is>
          <t>cyclase-like</t>
        </is>
      </c>
      <c r="H456" s="5" t="inlineStr">
        <is>
          <t>TBDY</t>
        </is>
      </c>
      <c r="I456" s="5" t="inlineStr">
        <is>
          <t>Metagenome</t>
        </is>
      </c>
      <c r="J456" s="5" t="inlineStr">
        <is>
          <t>Metagenome</t>
        </is>
      </c>
      <c r="K456" s="5" t="inlineStr">
        <is>
          <t>MGS0084</t>
        </is>
      </c>
      <c r="L456" s="5" t="inlineStr">
        <is>
          <t>PLA</t>
        </is>
      </c>
      <c r="M456" s="5" t="inlineStr">
        <is>
          <t>EC 3.1.1.1</t>
        </is>
      </c>
      <c r="N456" s="5" t="inlineStr">
        <is>
          <t>Hajighasemi, 2018</t>
        </is>
      </c>
      <c r="O456" s="5" t="inlineStr">
        <is>
          <t>KP347755.1</t>
        </is>
      </c>
      <c r="P456" s="5" t="inlineStr">
        <is>
          <t>-</t>
        </is>
      </c>
      <c r="Q456" s="5" t="inlineStr">
        <is>
          <t>-</t>
        </is>
      </c>
      <c r="R456" s="5" t="inlineStr">
        <is>
          <t>A0A0G3FL20</t>
        </is>
      </c>
      <c r="S456" s="5" t="inlineStr">
        <is>
          <t>hypothetical protein</t>
        </is>
      </c>
      <c r="T456" s="5" t="inlineStr">
        <is>
          <t>uncultured organism</t>
        </is>
      </c>
      <c r="U456" s="5">
        <f>FALSE()</f>
        <v/>
      </c>
      <c r="V456" s="5">
        <f>TRUE()</f>
        <v/>
      </c>
      <c r="W456" s="5" t="inlineStr">
        <is>
          <t>MPRQNGFRHQSYPTRPAVDPVVLTLDGDAVQSLDFGHLHTQFGVRKVLLVHGTFAGADPFGIHAMMRAGAETLPAAAQRAANPVIDRLSDQTKKLTDAITADVANYSDGYRKRFQTLVGDDPEVSRLEPTWSSENNHIARAGLAIRLFNELVELQAEGFDSEHERVLLWGHSHAGNGFAILSNLLANDRQSVEAFFEAAGDSLGKAGNFARRALAAAPTPHPMAKAALVVTFGTPVRYGWDLDGVRSLVHVIHHRQMKDEPDPTAIIPAVTFGCEGNSLGDNFKAATTGVADVLAAKHGDWVQAFAIAGTDIAPPLKRKDNARLGAFLERGLSEPTPQKLKEKLKVTCARWKTRTRLHTDGRNLLIDYDSAQLTRFGPARQAVLGHGIYTLKDWLPSQLSLVLKWMEHDGA</t>
        </is>
      </c>
      <c r="X456" s="5" t="n">
        <v>1</v>
      </c>
      <c r="Y456" s="5" t="inlineStr">
        <is>
          <t>MGS0084</t>
        </is>
      </c>
      <c r="Z456" s="5" t="inlineStr">
        <is>
          <t>AKJ87250</t>
        </is>
      </c>
      <c r="AA456" s="5" t="inlineStr">
        <is>
          <t>Direct</t>
        </is>
      </c>
      <c r="AB456" s="5" t="n">
        <v>85</v>
      </c>
      <c r="AC456" s="5" t="inlineStr">
        <is>
          <t>10.1021/acs.est.8b04252</t>
        </is>
      </c>
      <c r="AD456" s="5" t="inlineStr">
        <is>
          <t>MPRQNGFRHQSYPTRPAVDPVVLTLDGDAVQSLDFGHLHTQFGVRKVLLVHGTFAGADPFGIHAMMRAGAETLPAAAQRAANPVIDRLSDQTKKLTDAITADVANYSDGYRKRFQTLVGDDPEVSRLEPTWSSENNHIARAGLAIRLFNELVELQAEGFDSEHERVLLWGHSHAGNGFAILSNLLANDRQSVEAFFEAAGDSLGKAGNFARRALAAAPTPHPMAKAALVVTFGTPVRYGWDLDGVRSLVHVIHHRQMKDEPDPTAIIPAVTFGCEGNSLGDNFKAATTGVADVLAAKHGDWVQAFAIAGTDIAPPLKRKDNARLGAFLERGLSEPTPQKLKEKLKVTCARWKTRTRLHTDGRNLLIDYDSAQLTRFGPARQAVLGHGIYTLKDWLPSQLSLVLKWMEHDGA</t>
        </is>
      </c>
      <c r="AE456" s="5" t="inlineStr">
        <is>
          <t>Environmental metagenome</t>
        </is>
      </c>
      <c r="AF456" s="5" t="n"/>
      <c r="AG456" s="5" t="inlineStr">
        <is>
          <t>supp_unavailable</t>
        </is>
      </c>
      <c r="AH456" s="5" t="inlineStr">
        <is>
          <t>ncbi</t>
        </is>
      </c>
      <c r="AI456" s="5" t="n"/>
      <c r="AJ456" s="5" t="n"/>
      <c r="AK456" s="5" t="n"/>
      <c r="AL456" s="5" t="n">
        <v>1</v>
      </c>
    </row>
    <row r="457" ht="15" customHeight="1" s="12">
      <c r="A457" s="5" t="inlineStr">
        <is>
          <t>both</t>
        </is>
      </c>
      <c r="B457" s="5" t="inlineStr">
        <is>
          <t>MPRSSGAKLWSTLNKAAARNARRLQRAVNQNLTRPMTEAIVRNAVKQSAAVTAATQRALSGVVSPVQAPQNRGSGRWEEGAWGAPVAPRRYRIFVPAGVTASRRAPMLVLLHGCGQDAASFAAVTRAAAVAREAGWVVLLPEQTSQANAQRCWNWFRPGAQGGVEAGLLMALIDQACRGHPVAADRISVLGLSAGGAMALMLGLRYPGRFAAVGSHSGAVPWSASNAAQAARAMRGGHGPDAKAMQALRFGLAGRRPPPLLLLHGDADHVVDFSNATAAAGMWMHLQPEDAHALSAAPARRIQRGMRRAMDVFDWAEGKSPYVRLVRIEGLGHAWSGGAGGQAFSDPAGPDGLKLALRFFLEVGG</t>
        </is>
      </c>
      <c r="C457" s="5" t="n">
        <v>128</v>
      </c>
      <c r="D457" s="5" t="inlineStr">
        <is>
          <t>Q0JYJ1</t>
        </is>
      </c>
      <c r="E457" s="5" t="n">
        <v>31</v>
      </c>
      <c r="F457" s="5" t="inlineStr">
        <is>
          <t>Ipet</t>
        </is>
      </c>
      <c r="G457" s="5" t="inlineStr">
        <is>
          <t>Alpha/Beta Hydrolase</t>
        </is>
      </c>
      <c r="H457" s="5" t="inlineStr">
        <is>
          <t>3.40.50.1820</t>
        </is>
      </c>
      <c r="I457" s="5" t="inlineStr">
        <is>
          <t>Bacteria</t>
        </is>
      </c>
      <c r="J457" s="5" t="inlineStr">
        <is>
          <t>Cuprivadus necator ATC17699</t>
        </is>
      </c>
      <c r="K457" s="5" t="inlineStr">
        <is>
          <t>PhaZ7</t>
        </is>
      </c>
      <c r="L457" s="5" t="inlineStr">
        <is>
          <t>PHA</t>
        </is>
      </c>
      <c r="M457" s="5" t="inlineStr">
        <is>
          <t>-</t>
        </is>
      </c>
      <c r="N457" s="5" t="inlineStr">
        <is>
          <t>Sznajder, 2014</t>
        </is>
      </c>
      <c r="O457" s="5" t="inlineStr">
        <is>
          <t>Q0JYJ1</t>
        </is>
      </c>
      <c r="P457" s="5" t="inlineStr">
        <is>
          <t>Q0JYJ1</t>
        </is>
      </c>
      <c r="Q457" s="5" t="inlineStr">
        <is>
          <t>-</t>
        </is>
      </c>
      <c r="R457" s="5" t="inlineStr">
        <is>
          <t>Q0JYJ1</t>
        </is>
      </c>
      <c r="S457" s="5" t="inlineStr">
        <is>
          <t>PHB depolymerase family esterase</t>
        </is>
      </c>
      <c r="T457" s="5" t="inlineStr">
        <is>
          <t>Cupriavidus necator H16</t>
        </is>
      </c>
      <c r="U457" s="5">
        <f>FALSE()</f>
        <v/>
      </c>
      <c r="V457" s="5">
        <f>TRUE()</f>
        <v/>
      </c>
      <c r="W457" s="5" t="inlineStr">
        <is>
          <t>MPRSSGAKLWSTLNKAAARNARRLQRAVNQNLTRPMTEAIVRNAVKQSAAVTAATQRALSGVVSPVQAPQNRGSGRWEEGAWGAPVAPRRYRIFVPAGVTASRRAPMLVLLHGCGQDAASFAAVTRAAAVAREAGWVVLLPEQTSQANAQRCWNWFRPGAQGGVEAGLLMALIDQACRGHPVAADRISVLGLSAGGAMALMLGLRYPGRFAAVGSHSGAVPWSASNAAQAARAMRGGHGPDAKAMQALRFGLAGRRPPPLLLLHGDADHVVDFSNATAAAGMWMHLQPEDAHALSAAPARRIQRGMRRAMDVFDWAEGKSPYVRLVRIEGLGHAWSGGAGGQAFSDPAGPDGLKLALRFFLEVGG</t>
        </is>
      </c>
      <c r="X457" s="5" t="n">
        <v>1</v>
      </c>
      <c r="Y457" s="5" t="inlineStr">
        <is>
          <t>PhaZ Sa</t>
        </is>
      </c>
      <c r="Z457" s="5" t="inlineStr">
        <is>
          <t>WP_011617846.1</t>
        </is>
      </c>
      <c r="AA457" s="5" t="inlineStr">
        <is>
          <t>Direct</t>
        </is>
      </c>
      <c r="AB457" s="5" t="n"/>
      <c r="AC457" s="5" t="inlineStr">
        <is>
          <t>10.1107/s2059798324009707</t>
        </is>
      </c>
      <c r="AD457" s="5" t="inlineStr">
        <is>
          <t>MPRSSGAKLWSTLNKAAARNARRLQRAVNQNLTRPMTEAIVRNAVKQSAAVTAATQRALSGVVSPVQAPQNRGSGRWEEGAWGAPVAPRRYRIFVPAGVTASRRAPMLVLLHGCGQDAASFAAVTRAAAVAREAGWVVLLPEQTSQANAQRCWNWFRPGAQGGVEAGLLMALIDQACRGHPVAADRISVLGLSAGGAMALMLGLRYPGRFAAVGSHSGAVPWSASNAAQAARAMRGGHGPDAKAMQALRFGLAGRRPPPLLLLHGDADHVVDFSNATAAAGMWMHLQPEDAHALSAAPARRIQRGMRRAMDVFDWAEGKSPYVRLVRIEGLGHAWSGGAGGQAFSDPAGPDGLKLALRFFLEVGG</t>
        </is>
      </c>
      <c r="AE457" s="5" t="inlineStr">
        <is>
          <t>Cupriavidus necator</t>
        </is>
      </c>
      <c r="AF457" s="5" t="n"/>
      <c r="AG457" s="5" t="inlineStr">
        <is>
          <t>supp_unavailable</t>
        </is>
      </c>
      <c r="AH457" s="5" t="inlineStr">
        <is>
          <t>ncbi</t>
        </is>
      </c>
      <c r="AI457" s="5" t="n"/>
      <c r="AJ457" s="5" t="n"/>
      <c r="AK457" s="5" t="n"/>
      <c r="AL457" s="5" t="n">
        <v>1</v>
      </c>
    </row>
    <row r="458" ht="15" customHeight="1" s="12">
      <c r="A458" s="5" t="inlineStr">
        <is>
          <t>both</t>
        </is>
      </c>
      <c r="B458" s="5" t="inlineStr">
        <is>
          <t>MQFKSTFAALVLAAAGLVQAAPLQERAGCSSYVIINTRGTSEPQGPSVGFRTMNTRIRSAVSGGSEYDTVYPAGIDQNSAQGTANIVAQVKAGLARNPNTCFLLEGYSQGAAATCNALPQLTGAAFDAVKGVILIGNPEHKPNLACNVDGNGGKTTFSARGISAAFTQGVPSNWVSKTLDICIYGDGVCDVSSGFGITPQHLTYGYNTNVQTMGANFGIKALQG</t>
        </is>
      </c>
      <c r="C458" s="5" t="n">
        <v>145</v>
      </c>
      <c r="D458" s="5" t="inlineStr">
        <is>
          <t>BAN66731.1</t>
        </is>
      </c>
      <c r="E458" s="5" t="n">
        <v>2</v>
      </c>
      <c r="F458" s="5" t="inlineStr">
        <is>
          <t>Cut</t>
        </is>
      </c>
      <c r="G458" s="5" t="inlineStr">
        <is>
          <t>Alpha/Beta Hydrolase</t>
        </is>
      </c>
      <c r="H458" s="5" t="inlineStr">
        <is>
          <t>3.40.50.1820</t>
        </is>
      </c>
      <c r="I458" s="5" t="inlineStr">
        <is>
          <t>Eukaryota</t>
        </is>
      </c>
      <c r="J458" s="5" t="inlineStr">
        <is>
          <t>Pseudozyma (Candida) antarctica</t>
        </is>
      </c>
      <c r="K458" s="5" t="inlineStr">
        <is>
          <t>PaE; PaCLE1</t>
        </is>
      </c>
      <c r="L458" s="5" t="inlineStr">
        <is>
          <t>PLA</t>
        </is>
      </c>
      <c r="M458" s="5" t="inlineStr">
        <is>
          <t>-</t>
        </is>
      </c>
      <c r="N458" s="5" t="inlineStr">
        <is>
          <t>Shinozaki, 2012, Ueda,2021</t>
        </is>
      </c>
      <c r="O458" s="5" t="inlineStr">
        <is>
          <t>AB739034</t>
        </is>
      </c>
      <c r="P458" s="5" t="inlineStr">
        <is>
          <t>-</t>
        </is>
      </c>
      <c r="Q458" s="5" t="inlineStr">
        <is>
          <t>-</t>
        </is>
      </c>
      <c r="R458" s="5" t="inlineStr">
        <is>
          <t>S6BC01</t>
        </is>
      </c>
      <c r="S458" s="5" t="inlineStr">
        <is>
          <t>cutinase-like enzyme</t>
        </is>
      </c>
      <c r="T458" s="5" t="inlineStr">
        <is>
          <t>Moesziomyces antarcticus</t>
        </is>
      </c>
      <c r="U458" s="5">
        <f>FALSE()</f>
        <v/>
      </c>
      <c r="V458" s="5">
        <f>TRUE()</f>
        <v/>
      </c>
      <c r="W458" s="5" t="inlineStr">
        <is>
          <t>MQFKSTFAALVLAAAGLVQAAPLQERAGCSSYVIINTRGTSEPQGPSVGFRTMNTRIRSAVSGGSEYDTVYPAGIDQNSAQGTANIVAQVKAGLARNPNTCFLLEGYSQGAAATCNALPQLTGAAFDAVKGVILIGNPEHKPNLACNVDGNGGKTTFSARGISAAFTQGVPSNWVSKTLDICIYGDGVCDVSSGFGITPQHLTYGYNTNVQTMGANFGIKALQG</t>
        </is>
      </c>
      <c r="X458" s="5" t="n">
        <v>1</v>
      </c>
      <c r="Y458" s="5" t="inlineStr">
        <is>
          <t>PaE</t>
        </is>
      </c>
      <c r="Z458" s="5" t="inlineStr">
        <is>
          <t>XP_014659518.1</t>
        </is>
      </c>
      <c r="AA458" s="5" t="inlineStr">
        <is>
          <t>Direct</t>
        </is>
      </c>
      <c r="AB458" s="5" t="n">
        <v>99</v>
      </c>
      <c r="AC458" s="5" t="inlineStr">
        <is>
          <t>10.1007/s00253-012-4188-8; 10.1093/bbb/zbab113</t>
        </is>
      </c>
      <c r="AD458" s="5" t="inlineStr">
        <is>
          <t>MQFKSTFAALVLAAAGLVQAAPLQERAGCSSYVIINTRGTSEPQGPSVGFRTMNTRIRSAVSGGSEYDTVYPAGIDQNSAQGTANIVAQVKAGLARNPNTCFLLEGYSQGAAATCNALPQLTGAAFDAVKGVILIGNPEHKPNLACNVDGNGGKTTFSARGISAAFTQGVPSNWVSKTLDICIYGDGVCDVSSGFGITPQHLTYGYNTNVQTMGANFGIKALQG</t>
        </is>
      </c>
      <c r="AE458" s="5" t="inlineStr">
        <is>
          <t>Moesziomyces antarcticus</t>
        </is>
      </c>
      <c r="AF458" s="5" t="n">
        <v>84753</v>
      </c>
      <c r="AG458" s="5" t="inlineStr">
        <is>
          <t>supp_unavailable</t>
        </is>
      </c>
      <c r="AH458" s="5" t="inlineStr">
        <is>
          <t>ncbi</t>
        </is>
      </c>
      <c r="AI458" s="5" t="n"/>
      <c r="AJ458" s="5" t="n"/>
      <c r="AK458" s="5" t="n"/>
      <c r="AL458" s="5" t="n">
        <v>1</v>
      </c>
    </row>
    <row r="459" ht="15" customHeight="1" s="12">
      <c r="A459" s="5" t="inlineStr">
        <is>
          <t>both</t>
        </is>
      </c>
      <c r="B459" s="5" t="inlineStr">
        <is>
          <t>MQKYVEIKRDGLTLRGMLHIPNDVVSQKVPMVILLHGFCDDRNEINFVHNELSQRLCDAGIASVRFDMNGSGESDGRFEDMTVSSEILDAQAMLRYVRSLDFVDTKKIALHGCSLGGCVASMVAGKCKDQIRALSLWCPAPDLVYNLKEHKTLCNQDVSNIEKDGCADVEGLKLSLKFYQDACTLDPYKEASLFDKNVCTIHGDQDITASCECSYKYKEIFKERAKCIIVKGAEHRFKSFAFREARMQGALDFLKEELL</t>
        </is>
      </c>
      <c r="C459" s="5" t="n">
        <v>84</v>
      </c>
      <c r="D459" s="5" t="inlineStr">
        <is>
          <t>WP_118011433.1</t>
        </is>
      </c>
      <c r="E459" s="5" t="n">
        <v>1</v>
      </c>
      <c r="F459" s="5" t="inlineStr">
        <is>
          <t>Ipet</t>
        </is>
      </c>
      <c r="G459" s="5" t="inlineStr">
        <is>
          <t>Alpha/Beta Hydrolase</t>
        </is>
      </c>
      <c r="H459" s="5" t="inlineStr">
        <is>
          <t>3.40.50.1820</t>
        </is>
      </c>
      <c r="I459" s="5" t="inlineStr">
        <is>
          <t>Bacteria</t>
        </is>
      </c>
      <c r="J459" s="5" t="inlineStr">
        <is>
          <t>Holdemanella biformis</t>
        </is>
      </c>
      <c r="K459" s="5" t="inlineStr">
        <is>
          <t>HG-2</t>
        </is>
      </c>
      <c r="L459" s="5" t="inlineStr">
        <is>
          <t>PET</t>
        </is>
      </c>
      <c r="M459" s="5" t="inlineStr">
        <is>
          <t>-</t>
        </is>
      </c>
      <c r="N459" s="5" t="inlineStr">
        <is>
          <t>Zhou, 2024</t>
        </is>
      </c>
      <c r="O459" s="5" t="inlineStr">
        <is>
          <t>WP_118011433</t>
        </is>
      </c>
      <c r="P459" s="5" t="inlineStr">
        <is>
          <t>WP_118011433</t>
        </is>
      </c>
      <c r="Q459" s="5" t="inlineStr">
        <is>
          <t>-</t>
        </is>
      </c>
      <c r="R459" s="5" t="inlineStr">
        <is>
          <t>-</t>
        </is>
      </c>
      <c r="S459" s="5" t="inlineStr">
        <is>
          <t>alpha/beta hydrolase</t>
        </is>
      </c>
      <c r="T459" s="5" t="inlineStr">
        <is>
          <t>Holdemanella biformis</t>
        </is>
      </c>
      <c r="U459" s="5">
        <f>TRUE()</f>
        <v/>
      </c>
      <c r="V459" s="5">
        <f>TRUE()</f>
        <v/>
      </c>
      <c r="W459" s="5" t="inlineStr">
        <is>
          <t>MQKYVEIKRDGLTLRGMLHIPNDVVSQKVPMVILLHGFCDDRNEINFVHNELSQRLCDAGIASVRFDMNGSGESDGRFEDMTVSSEILDAQAMLRYVRSLDFVDTKKIALHGCSLGGCVASMVAGKCKDQIRALSLWCPAPDLVYNLKEHKTLCNQDVSNIEKDGCADVEGLKLSLKFYQDACTLDPYKEASLFDKNVCTIHGDQDITASCECSYKYKEIFKERAKCIIVKGAEHRFKSFAFREARMQGALDFLKEELL</t>
        </is>
      </c>
      <c r="X459" s="5" t="n">
        <v>1</v>
      </c>
      <c r="Y459" s="5" t="inlineStr">
        <is>
          <t>HG-2</t>
        </is>
      </c>
      <c r="Z459" s="5" t="inlineStr">
        <is>
          <t>WP_118011433.1</t>
        </is>
      </c>
      <c r="AA459" s="5" t="inlineStr">
        <is>
          <t>Direct</t>
        </is>
      </c>
      <c r="AB459" s="5" t="n">
        <v>223</v>
      </c>
      <c r="AC459" s="5" t="inlineStr">
        <is>
          <t>10.3390/microorganisms12010138</t>
        </is>
      </c>
      <c r="AD459" s="5" t="inlineStr">
        <is>
          <t>MQKYVEIKRDGLTLRGMLHIPNDVVSQKVPMVILLHGFCDDRNEINFVHNELSQRLCDAGIASVRFDMNGSGESDGRFEDMTVSSEILDAQAMLRYVRSLDFVDTKKIALHGCSLGGCVASMVAGKCKDQIRALSLWCPAPDLVYNLKEHKTLCNQDVSNIEKDGCADVEGLKLSLKFYQDACTLDPYKEASLFDKNVCTIHGDQDITASCECSYKYKEIFKERAKCIIVKGAEHRFKSFAFREARMQGALDFLKEELL</t>
        </is>
      </c>
      <c r="AE459" s="5" t="inlineStr">
        <is>
          <t>Holdemanella biformis</t>
        </is>
      </c>
      <c r="AF459" s="5" t="n">
        <v>1735</v>
      </c>
      <c r="AG459" s="5" t="inlineStr">
        <is>
          <t>supp_unavailable</t>
        </is>
      </c>
      <c r="AH459" s="5" t="inlineStr">
        <is>
          <t>ncbi</t>
        </is>
      </c>
      <c r="AI459" s="5" t="n"/>
      <c r="AJ459" s="5" t="n"/>
      <c r="AK459" s="5" t="n"/>
      <c r="AL459" s="5" t="n">
        <v>1</v>
      </c>
    </row>
    <row r="460" ht="15" customHeight="1" s="12">
      <c r="A460" s="5" t="inlineStr">
        <is>
          <t>both</t>
        </is>
      </c>
      <c r="B460" s="5" t="inlineStr">
        <is>
          <t>MQSGTVASNGIELFYESRGPENGEPMVFVMGLSAQMVFWPDTLLDALAAKGYRVIRFDNRDVGKSTQIRKPIKQGPVSAILRRIIGLPVESPYTLHDMVADTVGLLDALNIERAHFVGASMGGMISQLMAGTHPERVLSLTSIMSSNNSSLLPPPKPSALRVLIAPRVKVETEEQFVTFGLEMMSKLAGTLPQGKEELAAMYRAAWARGINPRGIRNQFLAITATGSLSKTLKQIQCPTTVIHGGADPLIRPAGGKASARAIRGAKLVIIPGMGHDFPPSVIDRIGELIAETAGRANSVVPPAVG</t>
        </is>
      </c>
      <c r="C460" s="5" t="n">
        <v>130</v>
      </c>
      <c r="D460" s="5" t="inlineStr">
        <is>
          <t>Q0VLQ1</t>
        </is>
      </c>
      <c r="E460" s="5" t="n">
        <v>32</v>
      </c>
      <c r="F460" s="5" t="inlineStr">
        <is>
          <t>Ipet</t>
        </is>
      </c>
      <c r="G460" s="5" t="inlineStr">
        <is>
          <t>Alpha/Beta Hydrolase</t>
        </is>
      </c>
      <c r="H460" s="5" t="inlineStr">
        <is>
          <t>3.40.50.1820</t>
        </is>
      </c>
      <c r="I460" s="5" t="inlineStr">
        <is>
          <t>Bacteria</t>
        </is>
      </c>
      <c r="J460" s="5" t="inlineStr">
        <is>
          <t>Alcanivorax borkumensis</t>
        </is>
      </c>
      <c r="K460" s="5" t="inlineStr">
        <is>
          <t>ABO2449, esterase</t>
        </is>
      </c>
      <c r="L460" s="5" t="inlineStr">
        <is>
          <t>PLA</t>
        </is>
      </c>
      <c r="M460" s="5" t="inlineStr">
        <is>
          <t>EC 3.1.1.1</t>
        </is>
      </c>
      <c r="N460" s="5" t="inlineStr">
        <is>
          <t>Hajhigasemi, 2016</t>
        </is>
      </c>
      <c r="O460" s="5" t="inlineStr">
        <is>
          <t>Q0VLQ1</t>
        </is>
      </c>
      <c r="P460" s="5" t="inlineStr">
        <is>
          <t>Q0VLQ1</t>
        </is>
      </c>
      <c r="Q460" s="5" t="inlineStr">
        <is>
          <t>-</t>
        </is>
      </c>
      <c r="R460" s="5" t="inlineStr">
        <is>
          <t>Q0VLQ1</t>
        </is>
      </c>
      <c r="S460" s="5" t="inlineStr">
        <is>
          <t>alpha/beta fold family</t>
        </is>
      </c>
      <c r="T460" s="5" t="inlineStr">
        <is>
          <t>Alcanivorax borkumensis SK2</t>
        </is>
      </c>
      <c r="U460" s="5">
        <f>FALSE()</f>
        <v/>
      </c>
      <c r="V460" s="5">
        <f>TRUE()</f>
        <v/>
      </c>
      <c r="W460" s="5" t="inlineStr">
        <is>
          <t>MQSGTVASNGIELFYESRGPENGEPMVFVMGLSAQMVFWPDTLLDALAAKGYRVIRFDNRDVGKSTQIRKPIKQGPVSAILRRIIGLPVESPYTLHDMVADTVGLLDALNIERAHFVGASMGGMISQLMAGTHPERVLSLTSIMSSNNSSLLPPPKPSALRVLIAPRVKVETEEQFVTFGLEMMSKLAGTLPQGKEELAAMYRAAWARGINPRGIRNQFLAITATGSLSKTLKQIQCPTTVIHGGADPLIRPAGGKASARAIRGAKLVIIPGMGHDFPPSVIDRIGELIAETAGRANSVVPPAVG</t>
        </is>
      </c>
      <c r="X460" s="5" t="n">
        <v>1</v>
      </c>
      <c r="Y460" s="5" t="inlineStr">
        <is>
          <t>ABO2449</t>
        </is>
      </c>
      <c r="Z460" s="5" t="inlineStr">
        <is>
          <t>WP_011589723.1</t>
        </is>
      </c>
      <c r="AA460" s="5" t="inlineStr">
        <is>
          <t>Direct</t>
        </is>
      </c>
      <c r="AB460" s="5" t="n">
        <v>74</v>
      </c>
      <c r="AC460" s="5" t="inlineStr">
        <is>
          <t>10.1021%2Facs.biomac.6b00223</t>
        </is>
      </c>
      <c r="AD460" s="5" t="inlineStr">
        <is>
          <t>MQSGTVASNGIELFYESRGPENGEPMVFVMGLSAQMVFWPDTLLDALAAKGYRVIRFDNRDVGKSTQIRKPIKQGPVSAILRRIIGLPVESPYTLHDMVADTVGLLDALNIERAHFVGASMGGMISQLMAGTHPERVLSLTSIMSSNNSSLLPPPKPSALRVLIAPRVKVETEEQFVTFGLEMMSKLAGTLPQGKEELAAMYRAAWARGINPRGIRNQFLAITATGSLSKTLKQIQCPTTVIHGGADPLIRPAGGKASARAIRGAKLVIIPGMGHDFPPSVIDRIGELIAETAGRANSVVPPAVG</t>
        </is>
      </c>
      <c r="AE460" s="5" t="inlineStr">
        <is>
          <t>Alcanivorax borkumensis</t>
        </is>
      </c>
      <c r="AF460" s="5" t="n">
        <v>59754</v>
      </c>
      <c r="AG460" s="5" t="inlineStr">
        <is>
          <t>supp_unavailable</t>
        </is>
      </c>
      <c r="AH460" s="5" t="inlineStr">
        <is>
          <t>ncbi</t>
        </is>
      </c>
      <c r="AI460" s="5" t="n"/>
      <c r="AJ460" s="5" t="n"/>
      <c r="AK460" s="5" t="n"/>
      <c r="AL460" s="5" t="n">
        <v>1</v>
      </c>
    </row>
    <row r="461" ht="15" customHeight="1" s="12">
      <c r="A461" s="5" t="inlineStr">
        <is>
          <t>both</t>
        </is>
      </c>
      <c r="B461" s="5" t="inlineStr">
        <is>
          <t>MQVVLGRVRSAGLLAALLALAAWALVWASPSAEAQSNPYQRGPNPTRSALTTDGPFSVATYSVSRLSVSGFGGGVIYYPTGTTLTFGGIAMSPGYTADASSLAWLGRRLASHGFVVIVINTNSRLDFPDSRASQLSAALNYLRTSSPSAVRARLDANRLAVAGHSMGGGATLRISEQIPTLKAGVPLTPWHTDKTFNTPVPQLIVGAEADTVAPVSQHAIPFYQNLPSTTPKVYVELDNATHFAPNSPNAAISVYTISWMKLWVDNDTRYRQFLCNVNDPALSDFRSNNRHCQ</t>
        </is>
      </c>
      <c r="C461" s="5" t="n">
        <v>34</v>
      </c>
      <c r="D461" s="5" t="inlineStr">
        <is>
          <t>GBD22443.1</t>
        </is>
      </c>
      <c r="E461" s="5" t="n">
        <v>1</v>
      </c>
      <c r="F461" s="5" t="inlineStr">
        <is>
          <t>Ipet</t>
        </is>
      </c>
      <c r="G461" s="5" t="inlineStr">
        <is>
          <t>Alpha/Beta Hydrolase</t>
        </is>
      </c>
      <c r="H461" s="5" t="inlineStr">
        <is>
          <t>3.40.50.1820</t>
        </is>
      </c>
      <c r="I461" s="5" t="inlineStr">
        <is>
          <t>Bacteria</t>
        </is>
      </c>
      <c r="J461" s="5" t="inlineStr">
        <is>
          <t>HR29</t>
        </is>
      </c>
      <c r="K461" s="5" t="inlineStr">
        <is>
          <t>LCC-like</t>
        </is>
      </c>
      <c r="L461" s="5" t="inlineStr">
        <is>
          <t>PET</t>
        </is>
      </c>
      <c r="M461" s="5" t="inlineStr">
        <is>
          <t>EC 3.1.1.74</t>
        </is>
      </c>
      <c r="N461" s="5" t="inlineStr">
        <is>
          <t>Xi, 2021</t>
        </is>
      </c>
      <c r="O461" s="5" t="inlineStr">
        <is>
          <t>GBD22443</t>
        </is>
      </c>
      <c r="P461" s="5" t="inlineStr">
        <is>
          <t>GBD22443.1</t>
        </is>
      </c>
      <c r="Q461" s="5" t="inlineStr">
        <is>
          <t>7EOA</t>
        </is>
      </c>
      <c r="R461" s="5" t="inlineStr">
        <is>
          <t>A0A2H5Z9R5</t>
        </is>
      </c>
      <c r="S461" s="5" t="inlineStr">
        <is>
          <t>Poly(ethylene terephthalate) hydrolase</t>
        </is>
      </c>
      <c r="T461" s="5" t="inlineStr">
        <is>
          <t>bacterium HR29</t>
        </is>
      </c>
      <c r="U461" s="5">
        <f>FALSE()</f>
        <v/>
      </c>
      <c r="V461" s="5">
        <f>TRUE()</f>
        <v/>
      </c>
      <c r="W461" s="5" t="inlineStr">
        <is>
          <t>MQVVLGRVRSAGLLAALLALAAWALVWASPSAEAQSNPYQRGPNPTRSALTTDGPFSVATYSVSRLSVSGFGGGVIYYPTGTTLTFGGIAMSPGYTADASSLAWLGRRLASHGFVVIVINTNSRLDFPDSRASQLSAALNYLRTSSPSAVRARLDANRLAVAGHSMGGGATLRISEQIPTLKAGVPLTPWHTDKTFNTPVPQLIVGAEADTVAPVSQHAIPFYQNLPSTTPKVYVELDNATHFAPNSPNAAISVYTISWMKLWVDNDTRYRQFLCNVNDPALSDFRSNNRHCQ</t>
        </is>
      </c>
      <c r="X461" s="5" t="n">
        <v>1</v>
      </c>
      <c r="Y461" s="5" t="inlineStr">
        <is>
          <t>BhrPETase</t>
        </is>
      </c>
      <c r="Z461" s="5" t="inlineStr">
        <is>
          <t>GBD22443.1</t>
        </is>
      </c>
      <c r="AA461" s="5" t="inlineStr">
        <is>
          <t>Direct</t>
        </is>
      </c>
      <c r="AB461" s="5" t="n">
        <v>17</v>
      </c>
      <c r="AC461" s="5" t="inlineStr">
        <is>
          <t>10.1016/j.enzmictec.2020.109715; 10.1002/cssc.202500944</t>
        </is>
      </c>
      <c r="AD461" s="5" t="inlineStr">
        <is>
          <t>MQVVLGRVRSAGLLAALLALAAWALVWASPSAEAQSNPYQRGPNPTRSALTTDGPFSVATYSVSRLSVSGFGGGVIYYPTGTTLTFGGIAMSPGYTADASSLAWLGRRLASHGFVVIVINTNSRLDFPDSRASQLSAALNYLRTSSPSAVRARLDANRLAVAGHSMGGGATLRISEQIPTLKAGVPLTPWHTDKTFNTPVPQLIVGAEADTVAPVSQHAIPFYQNLPSTTPKVYVELDNATHFAPNSPNAAISVYTISWMKLWVDNDTRYRQFLCNVNDPALSDFRSNNRHCQ</t>
        </is>
      </c>
      <c r="AE461" s="5" t="inlineStr">
        <is>
          <t>bacterium HR29</t>
        </is>
      </c>
      <c r="AF461" s="5" t="n">
        <v>2035424</v>
      </c>
      <c r="AG461" s="5" t="inlineStr">
        <is>
          <t>supp_unavailable</t>
        </is>
      </c>
      <c r="AH461" s="5" t="inlineStr">
        <is>
          <t>ncbi</t>
        </is>
      </c>
      <c r="AI461" s="5" t="n"/>
      <c r="AJ461" s="5" t="n"/>
      <c r="AK461" s="5" t="n"/>
      <c r="AL461" s="5" t="n">
        <v>1</v>
      </c>
    </row>
    <row r="462" ht="15" customHeight="1" s="12">
      <c r="A462" s="5" t="inlineStr">
        <is>
          <t>both</t>
        </is>
      </c>
      <c r="B462" s="5" t="inlineStr">
        <is>
          <t>MRAWWLSGALALMFWAQGAVAGTLLVVGDSISAAFGLDSRQGWVALLEKRLSEEGFEHSVVNASISGDTSAGGAARLSALLAEHKPELVIIELGGNDGLRGQPPAQLQQNLASMVEQSQQAGAKVLLLGMKLPPNYGVRYTTAFAQVFTDLAEQKQVSLVPFFLEGVGGVPGMMQADGIHPAEAAQEILLDNVWPTLKPML</t>
        </is>
      </c>
      <c r="C462" s="5" t="n">
        <v>211</v>
      </c>
      <c r="D462" s="5" t="inlineStr">
        <is>
          <t>WP_003460012.1</t>
        </is>
      </c>
      <c r="E462" s="5" t="n">
        <v>17</v>
      </c>
      <c r="F462" s="5" t="inlineStr">
        <is>
          <t>TesA</t>
        </is>
      </c>
      <c r="G462" s="5" t="inlineStr">
        <is>
          <t>Arylesterase</t>
        </is>
      </c>
      <c r="H462" s="5" t="inlineStr">
        <is>
          <t>TBDX</t>
        </is>
      </c>
      <c r="I462" s="5" t="inlineStr">
        <is>
          <t>Bacteria</t>
        </is>
      </c>
      <c r="J462" s="5" t="inlineStr">
        <is>
          <t>Ectopseudomonas oleovorans</t>
        </is>
      </c>
      <c r="K462" s="5" t="inlineStr">
        <is>
          <t>lip1; Mors1</t>
        </is>
      </c>
      <c r="L462" s="5" t="inlineStr">
        <is>
          <t>PET; PBAT</t>
        </is>
      </c>
      <c r="M462" s="5" t="inlineStr">
        <is>
          <t>EC 3.1.1.2</t>
        </is>
      </c>
      <c r="N462" s="5" t="inlineStr">
        <is>
          <t>Haernvall, 2017, Wallace, 2016</t>
        </is>
      </c>
      <c r="O462" s="5" t="inlineStr">
        <is>
          <t>W6R2Y2</t>
        </is>
      </c>
      <c r="P462" s="5" t="inlineStr">
        <is>
          <t>WP_003460012.1</t>
        </is>
      </c>
      <c r="Q462" s="5" t="inlineStr">
        <is>
          <t>-</t>
        </is>
      </c>
      <c r="R462" s="5" t="inlineStr">
        <is>
          <t>W6R2Y2</t>
        </is>
      </c>
      <c r="S462" s="5" t="inlineStr">
        <is>
          <t>arylesterase</t>
        </is>
      </c>
      <c r="T462" s="5" t="inlineStr">
        <is>
          <t>Ectopseudomonas oleovorans</t>
        </is>
      </c>
      <c r="U462" s="5">
        <f>FALSE()</f>
        <v/>
      </c>
      <c r="V462" s="5">
        <f>TRUE()</f>
        <v/>
      </c>
      <c r="W462" s="5" t="inlineStr">
        <is>
          <t>MRAWWLSGALALMFWAQGAVAGTLLVVGDSISAAFGLDSRQGWVALLEKRLSEEGFEHSVVNASISGDTSAGGAARLSALLAEHKPELVIIELGGNDGLRGQPPAQLQQNLASMVEQSQQAGAKVLLLGMKLPPNYGVRYTTAFAQVFTDLAEQKQVSLVPFFLEGVGGVPGMMQADGIHPAEAAQEILLDNVWPTLKPML</t>
        </is>
      </c>
      <c r="X462" s="5" t="n">
        <v>1</v>
      </c>
      <c r="Y462" s="5" t="inlineStr">
        <is>
          <t>PpEst</t>
        </is>
      </c>
      <c r="Z462" s="5" t="inlineStr">
        <is>
          <t>WP_003460012.1</t>
        </is>
      </c>
      <c r="AA462" s="5" t="inlineStr">
        <is>
          <t>Direct</t>
        </is>
      </c>
      <c r="AB462" s="5" t="n">
        <v>12</v>
      </c>
      <c r="AC462" s="5" t="inlineStr">
        <is>
          <t>10.1007/s00253-016-7992-8; 10.1016/j.jbiotec.2017.01.012</t>
        </is>
      </c>
      <c r="AD462" s="5" t="inlineStr">
        <is>
          <t>MRAWWLSGALALMFWAQGAVAGTLLVVGDSISAAFGLDSRQGWVALLEKRLSEEGFEHSVVNASISGDTSAGGAARLSALLAEHKPELVIIELGGNDGLRGQPPAQLQQNLASMVEQSQQAGAKVLLLGMKLPPNYGVRYTTAFAQVFTDLAEQKQVSLVPFFLEGVGGVPGMMQADGIHPAEAAQEILLDNVWPTLKPML</t>
        </is>
      </c>
      <c r="AE462" s="5" t="inlineStr">
        <is>
          <t>Ectopseudomonas oleovorans</t>
        </is>
      </c>
      <c r="AF462" s="5" t="n">
        <v>301</v>
      </c>
      <c r="AG462" s="5" t="inlineStr">
        <is>
          <t>supp_unavailable</t>
        </is>
      </c>
      <c r="AH462" s="5" t="inlineStr">
        <is>
          <t>ncbi</t>
        </is>
      </c>
      <c r="AI462" s="5" t="n"/>
      <c r="AJ462" s="5" t="n"/>
      <c r="AK462" s="5" t="n"/>
      <c r="AL462" s="5" t="n">
        <v>1</v>
      </c>
    </row>
    <row r="463" ht="15" customHeight="1" s="12">
      <c r="A463" s="5" t="inlineStr">
        <is>
          <t>both</t>
        </is>
      </c>
      <c r="B463" s="5" t="inlineStr">
        <is>
          <t>MRFRVAASLPAEYLAVDNVVLEGTAQPPAPGGSGYQKGPEPTAALLEAGTGPFATASVTLSRSAASGFGGGTIHYPQGVAGPFAAVAVVPGYLAAESTIAWWGPRLASHGFVVITMATNNTLDLPASRSAQLTAALNQLKTLSATPGHAVFGLVDPNRLGVVGWSYGGGGTLLNAQANPQLKAAMALAPKTLLQGDFTGTTVPTLVVGCQADTTAAPAFWAIPFYNKVSASTGKAYLEVRGGSHFCVTSSTSDADKKALGKYGVAWLKRFMDEDTRYAPFLCGAPRQADVAGNAAISDYRDNCPY</t>
        </is>
      </c>
      <c r="C463" s="5" t="n">
        <v>41</v>
      </c>
      <c r="D463" s="5" t="inlineStr">
        <is>
          <t>ODU60407.1</t>
        </is>
      </c>
      <c r="E463" s="5" t="n">
        <v>1</v>
      </c>
      <c r="F463" s="5" t="inlineStr">
        <is>
          <t>Ipet</t>
        </is>
      </c>
      <c r="G463" s="5" t="inlineStr">
        <is>
          <t>Alpha/Beta Hydrolase</t>
        </is>
      </c>
      <c r="H463" s="5" t="inlineStr">
        <is>
          <t>3.40.50.1820</t>
        </is>
      </c>
      <c r="I463" s="5" t="inlineStr">
        <is>
          <t>Bacteria</t>
        </is>
      </c>
      <c r="J463" s="5" t="inlineStr">
        <is>
          <t>Ketobacter alkanivorans</t>
        </is>
      </c>
      <c r="K463" s="5" t="inlineStr">
        <is>
          <t>Enzyme 412</t>
        </is>
      </c>
      <c r="L463" s="5" t="inlineStr">
        <is>
          <t>PET</t>
        </is>
      </c>
      <c r="M463" s="5" t="inlineStr">
        <is>
          <t>-</t>
        </is>
      </c>
      <c r="N463" s="5" t="inlineStr">
        <is>
          <t>Erickson, 2022</t>
        </is>
      </c>
      <c r="O463" s="5" t="inlineStr">
        <is>
          <t>ODU60407.1</t>
        </is>
      </c>
      <c r="P463" s="5" t="inlineStr">
        <is>
          <t>ODU60407.1</t>
        </is>
      </c>
      <c r="Q463" s="5" t="inlineStr">
        <is>
          <t>-</t>
        </is>
      </c>
      <c r="R463" s="5" t="inlineStr">
        <is>
          <t>-</t>
        </is>
      </c>
      <c r="S463" s="5" t="inlineStr">
        <is>
          <t>ABT02_06340</t>
        </is>
      </c>
      <c r="T463" s="5" t="inlineStr">
        <is>
          <t>Comamonadaceae bacterium SCN 68-20</t>
        </is>
      </c>
      <c r="U463" s="5">
        <f>FALSE()</f>
        <v/>
      </c>
      <c r="V463" s="5">
        <f>TRUE()</f>
        <v/>
      </c>
      <c r="W463" s="5" t="inlineStr">
        <is>
          <t>MRFRVAASLPAEYLAVDNVVLEGTAQPPAPGGSGYQKGPEPTAALLEAGTGPFATASVTLSRSAASGFGGGTIHYPQGVAGPFAAVAVVPGYLAAESTIAWWGPRLASHGFVVITMATNNTLDLPASRSAQLTAALNQLKTLSATPGHAVFGLVDPNRLGVVGWSYGGGGTLLNAQANPQLKAAMALAPKTLLQGDFTGTTVPTLVVGCQADTTAAPAFWAIPFYNKVSASTGKAYLEVRGGSHFCVTSSTSDADKKALGKYGVAWLKRFMDEDTRYAPFLCGAPRQADVAGNAAISDYRDNCPY</t>
        </is>
      </c>
      <c r="X463" s="5" t="n">
        <v>1</v>
      </c>
      <c r="Y463" s="5" t="n">
        <v>406</v>
      </c>
      <c r="Z463" s="5" t="inlineStr">
        <is>
          <t>ODU60407.1</t>
        </is>
      </c>
      <c r="AA463" s="5" t="inlineStr">
        <is>
          <t>Direct</t>
        </is>
      </c>
      <c r="AB463" s="5" t="n">
        <v>143</v>
      </c>
      <c r="AC463" s="5" t="inlineStr">
        <is>
          <t>10.1038/s41467-022-35237-x</t>
        </is>
      </c>
      <c r="AD463" s="5" t="inlineStr">
        <is>
          <t>MRFRVAASLPAEYLAVDNVVLEGTAQPPAPGGSGYQKGPEPTAALLEAGTGPFATASVTLSRSAASGFGGGTIHYPQGVAGPFAAVAVVPGYLAAESTIAWWGPRLASHGFVVITMATNNTLDLPASRSAQLTAALNQLKTLSATPGHAVFGLVDPNRLGVVGWSYGGGGTLLNAQANPQLKAAMALAPKTLLQGDFTGTTVPTLVVGCQADTTAAPAFWAIPFYNKVSASTGKAYLEVRGGSHFCVTSSTSDADKKALGKYGVAWLKRFMDEDTRYAPFLCGAPRQADVAGNAAISDYRDNCPY</t>
        </is>
      </c>
      <c r="AE463" s="5" t="inlineStr">
        <is>
          <t>Comamonadaceae bacterium</t>
        </is>
      </c>
      <c r="AF463" s="5" t="n">
        <v>1871071</v>
      </c>
      <c r="AG463" s="5" t="inlineStr">
        <is>
          <t>supp_unavailable</t>
        </is>
      </c>
      <c r="AH463" s="5" t="inlineStr">
        <is>
          <t>ncbi</t>
        </is>
      </c>
      <c r="AI463" s="5" t="n"/>
      <c r="AJ463" s="5" t="n"/>
      <c r="AK463" s="5" t="n"/>
      <c r="AL463" s="5" t="n">
        <v>1</v>
      </c>
    </row>
    <row r="464" ht="15" customHeight="1" s="12">
      <c r="A464" s="5" t="inlineStr">
        <is>
          <t>both</t>
        </is>
      </c>
      <c r="B464" s="5" t="inlineStr">
        <is>
          <t>MRHARRKRLGLLLTTVSLTALLGLNAQAQADTDTTAVAPAAANPYERGPAPTEASVTAARGPFAIAQVNVPSGSGAGFNDGTIYYPTDTSQGTFGAVAVIPGFISPQAVIQWFGPRLASQGFVVFTLDSNGLADLPDARGRQLLAALDYLTTQSTVRTRIDPNRLAVMGHSMGGGGTLLAAENRPTLKAAIPLAPWEPDTSWEGVKVPTMIIGGESDVVAPVSSMAIPDYNSLSSAPEKAYLELRSGDHLAPASESPTVAEYALSWLKRFVDDDTRYDQFLCPGPTPDTDISQYLDTCPNGS</t>
        </is>
      </c>
      <c r="C464" s="5" t="n">
        <v>73</v>
      </c>
      <c r="D464" s="5" t="inlineStr">
        <is>
          <t>WP_082414832.1</t>
        </is>
      </c>
      <c r="E464" s="5" t="n">
        <v>1</v>
      </c>
      <c r="F464" s="5" t="inlineStr">
        <is>
          <t>Ipet</t>
        </is>
      </c>
      <c r="G464" s="5" t="inlineStr">
        <is>
          <t>Alpha/Beta Hydrolase</t>
        </is>
      </c>
      <c r="H464" s="5" t="inlineStr">
        <is>
          <t>3.40.50.1820</t>
        </is>
      </c>
      <c r="I464" s="5" t="inlineStr">
        <is>
          <t>Bacteria</t>
        </is>
      </c>
      <c r="J464" s="5" t="inlineStr">
        <is>
          <t>Actinobacteria bacterium OK074</t>
        </is>
      </c>
      <c r="K464" s="5" t="inlineStr">
        <is>
          <t>Enzyme 405</t>
        </is>
      </c>
      <c r="L464" s="5" t="inlineStr">
        <is>
          <t>PET</t>
        </is>
      </c>
      <c r="M464" s="5" t="inlineStr">
        <is>
          <t>-</t>
        </is>
      </c>
      <c r="N464" s="5" t="inlineStr">
        <is>
          <t>Erickson, 2022</t>
        </is>
      </c>
      <c r="O464" s="5" t="inlineStr">
        <is>
          <t>WP_082414832.1</t>
        </is>
      </c>
      <c r="P464" s="5" t="inlineStr">
        <is>
          <t>WP_082414832.1</t>
        </is>
      </c>
      <c r="Q464" s="5" t="inlineStr">
        <is>
          <t>-</t>
        </is>
      </c>
      <c r="R464" s="5" t="inlineStr">
        <is>
          <t>-</t>
        </is>
      </c>
      <c r="S464" s="5" t="inlineStr">
        <is>
          <t>dienelactone hydrolase family protein</t>
        </is>
      </c>
      <c r="T464" s="5" t="inlineStr">
        <is>
          <t>Actinobacteria bacterium OK074</t>
        </is>
      </c>
      <c r="U464" s="5">
        <f>FALSE()</f>
        <v/>
      </c>
      <c r="V464" s="5">
        <f>TRUE()</f>
        <v/>
      </c>
      <c r="W464" s="5" t="inlineStr">
        <is>
          <t>MRHARRKRLGLLLTTVSLTALLGLNAQAQADTDTTAVAPAAANPYERGPAPTEASVTAARGPFAIAQVNVPSGSGAGFNDGTIYYPTDTSQGTFGAVAVIPGFISPQAVIQWFGPRLASQGFVVFTLDSNGLADLPDARGRQLLAALDYLTTQSTVRTRIDPNRLAVMGHSMGGGGTLLAAENRPTLKAAIPLAPWEPDTSWEGVKVPTMIIGGESDVVAPVSSMAIPDYNSLSSAPEKAYLELRSGDHLAPASESPTVAEYALSWLKRFVDDDTRYDQFLCPGPTPDTDISQYLDTCPNGS</t>
        </is>
      </c>
      <c r="X464" s="5" t="n">
        <v>1</v>
      </c>
      <c r="Y464" s="5" t="n">
        <v>405</v>
      </c>
      <c r="Z464" s="5" t="inlineStr">
        <is>
          <t>KPI12031.1</t>
        </is>
      </c>
      <c r="AA464" s="5" t="inlineStr">
        <is>
          <t>Direct</t>
        </is>
      </c>
      <c r="AB464" s="5" t="n">
        <v>142</v>
      </c>
      <c r="AC464" s="5" t="inlineStr">
        <is>
          <t>10.1038/s41467-022-35237-x</t>
        </is>
      </c>
      <c r="AD464" s="5" t="inlineStr">
        <is>
          <t>MRHARRKRLGLLLTTVSLTALLGLNAQAQADTDTTAVAPAAANPYERGPAPTEASVTAARGPFAIAQVNVPSGSGAGFNDGTIYYPTDTSQGTFGAVAVIPGFISPQAVIQWFGPRLASQGFVVFTLDSNGLADLPDARGRQLLAALDYLTTQSTVRTRIDPNRLAVMGHSMGGGGTLLAAENRPTLKAAIPLAPWEPDTSWEGVKVPTMIIGGESDVVAPVSSMAIPDYNSLSSAPEKAYLELRSGDHLAPASESPTVAEYALSWLKRFVDDDTRYDQFLCPGPTPDTDISQYLDTCPNGS</t>
        </is>
      </c>
      <c r="AE464" s="5" t="inlineStr">
        <is>
          <t>Actinobacteria bacterium OK074</t>
        </is>
      </c>
      <c r="AF464" s="5" t="n">
        <v>1592327</v>
      </c>
      <c r="AG464" s="5" t="inlineStr">
        <is>
          <t>supp_unavailable</t>
        </is>
      </c>
      <c r="AH464" s="5" t="inlineStr">
        <is>
          <t>ncbi</t>
        </is>
      </c>
      <c r="AI464" s="5" t="n"/>
      <c r="AJ464" s="5" t="n"/>
      <c r="AK464" s="5" t="n"/>
      <c r="AL464" s="5" t="n">
        <v>1</v>
      </c>
    </row>
    <row r="465" ht="15" customHeight="1" s="12">
      <c r="A465" s="5" t="inlineStr">
        <is>
          <t>both</t>
        </is>
      </c>
      <c r="B465" s="5" t="inlineStr">
        <is>
          <t>MRIRRQAGTGARASMARAIGVMTTALAVLVGAVGGVAGAEVSTAQDNPYERGPDPTEDSIEAIRGPFSVATERVSSFASGFGGGTIYYPRETDEGTFGAVAVAPGFTASQGSMSWYGERVASQGFIVFTIDTNTRLDQPGQRGRQLLAALDYLVERSDRKVRERLDPNRLAVMGHSMGGGGSLEATVMRPSLKASIPLTPWNLDKTWGQVQVPTFIIGAELDTIASVRTHAKPFYESLPSSLPKAYMELDGATHFAPNIPNTTIAKYVISWLKRFVDEDTRYSQFLCPNPTDRAIEEYRSTCPY</t>
        </is>
      </c>
      <c r="C465" s="5" t="n">
        <v>24</v>
      </c>
      <c r="D465" s="5" t="inlineStr">
        <is>
          <t>BAO42836.1</t>
        </is>
      </c>
      <c r="E465" s="5" t="n">
        <v>1</v>
      </c>
      <c r="F465" s="5" t="inlineStr">
        <is>
          <t>Ipet</t>
        </is>
      </c>
      <c r="G465" s="5" t="inlineStr">
        <is>
          <t>Alpha/Beta Hydrolase</t>
        </is>
      </c>
      <c r="H465" s="5" t="inlineStr">
        <is>
          <t>3.40.50.1820</t>
        </is>
      </c>
      <c r="I465" s="5" t="inlineStr">
        <is>
          <t>Bacteria</t>
        </is>
      </c>
      <c r="J465" s="5" t="inlineStr">
        <is>
          <t>Saccharomonospora viridis AHK190</t>
        </is>
      </c>
      <c r="K465" s="5" t="inlineStr">
        <is>
          <t>Cut190</t>
        </is>
      </c>
      <c r="L465" s="5" t="inlineStr">
        <is>
          <t>PET</t>
        </is>
      </c>
      <c r="M465" s="5" t="inlineStr">
        <is>
          <t>EC 3.1.1.74</t>
        </is>
      </c>
      <c r="N465" s="5" t="inlineStr">
        <is>
          <t>Miyakawa, 2014; Kawai, 2014; Oda, 2018</t>
        </is>
      </c>
      <c r="O465" s="5" t="inlineStr">
        <is>
          <t>W0TJ64</t>
        </is>
      </c>
      <c r="P465" s="5" t="inlineStr">
        <is>
          <t>BAO42836.1</t>
        </is>
      </c>
      <c r="Q465" s="5" t="inlineStr">
        <is>
          <t>4WFK</t>
        </is>
      </c>
      <c r="R465" s="5" t="inlineStr">
        <is>
          <t>W0TJ64</t>
        </is>
      </c>
      <c r="S465" s="5" t="inlineStr">
        <is>
          <t>cutinase</t>
        </is>
      </c>
      <c r="T465" s="5" t="inlineStr">
        <is>
          <t>Saccharomonospora viridis</t>
        </is>
      </c>
      <c r="U465" s="5">
        <f>FALSE()</f>
        <v/>
      </c>
      <c r="V465" s="5">
        <f>TRUE()</f>
        <v/>
      </c>
      <c r="W465" s="5" t="inlineStr">
        <is>
          <t>MRIRRQAGTGARASMARAIGVMTTALAVLVGAVGGVAGAEVSTAQDNPYERGPDPTEDSIEAIRGPFSVATERVSSFASGFGGGTIYYPRETDEGTFGAVAVAPGFTASQGSMSWYGERVASQGFIVFTIDTNTRLDQPGQRGRQLLAALDYLVERSDRKVRERLDPNRLAVMGHSMGGGGSLEATVMRPSLKASIPLTPWNLDKTWGQVQVPTFIIGAELDTIASVRTHAKPFYESLPSSLPKAYMELDGATHFAPNIPNTTIAKYVISWLKRFVDEDTRYSQFLCPNPTDRAIEEYRSTCPY</t>
        </is>
      </c>
      <c r="X465" s="5" t="n">
        <v>1</v>
      </c>
      <c r="Y465" s="5" t="inlineStr">
        <is>
          <t>Cut190</t>
        </is>
      </c>
      <c r="Z465" s="5" t="inlineStr">
        <is>
          <t>WP_015787089.1</t>
        </is>
      </c>
      <c r="AA465" s="5" t="inlineStr">
        <is>
          <t>Direct</t>
        </is>
      </c>
      <c r="AB465" s="5" t="n">
        <v>18</v>
      </c>
      <c r="AC465" s="5" t="inlineStr">
        <is>
          <t>10.1007/s00253-014-5860-y; 10.1007/s00253-014-6272-8; 10.1007/s00253-018-9374-x</t>
        </is>
      </c>
      <c r="AD465" s="5" t="inlineStr">
        <is>
          <t>MRIRRQAGTGARASMARAIGVMTTALAVLVGAVGGVAGAEVSTAQDNPYERGPDPTEDSIEAIRGPFSVATERVSSFASGFGGGTIYYPRETDEGTFGAVAVAPGFTASQGSMSWYGERVASQGFIVFTIDTNTRLDQPGQRGRQLLAALDYLVERSDRKVRERLDPNRLAVMGHSMGGGGSLEATVMRPSLKASIPLTPWNLDKTWGQVQVPTFIIGAELDTIASVRTHAKPFYESLPSSLPKAYMELDGATHFAPNIPNTTIAKYVISWLKRFVDEDTRYSQFLCPNPTDRAIEEYRSTCPY</t>
        </is>
      </c>
      <c r="AE465" s="5" t="inlineStr">
        <is>
          <t>Saccharomonospora viridis</t>
        </is>
      </c>
      <c r="AF465" s="5" t="n">
        <v>1852</v>
      </c>
      <c r="AG465" s="5" t="inlineStr">
        <is>
          <t>supp_unavailable</t>
        </is>
      </c>
      <c r="AH465" s="5" t="inlineStr">
        <is>
          <t>ncbi</t>
        </is>
      </c>
      <c r="AI465" s="5" t="n"/>
      <c r="AJ465" s="5" t="n"/>
      <c r="AK465" s="5" t="n"/>
      <c r="AL465" s="5" t="n">
        <v>1</v>
      </c>
    </row>
    <row r="466" ht="15" customHeight="1" s="12">
      <c r="A466" s="5" t="inlineStr">
        <is>
          <t>both</t>
        </is>
      </c>
      <c r="B466" s="5" t="inlineStr">
        <is>
          <t>MRKLKLLLMVCMSMVFIFTLPGMGQSLKASAATERTPIVFVHGLTGSDSNFALIERYLRGEGWSSDELFAIDLPSKAGNQLLNSAAISRFVDDVLRQTGHSKVHIVAHSMGGANSLYYILNRGGIDKVDKLITLGGANRLTTSRAPDGIRVTSIYSTSDTIVSPALSRLDGANNISVNLVTHIGLLYNSRVNALIKAALIE</t>
        </is>
      </c>
      <c r="C466" s="5" t="n">
        <v>120</v>
      </c>
      <c r="D466" s="5" t="inlineStr">
        <is>
          <t>BAC67195.1</t>
        </is>
      </c>
      <c r="E466" s="5" t="n">
        <v>26</v>
      </c>
      <c r="F466" s="5" t="inlineStr">
        <is>
          <t>Ipet</t>
        </is>
      </c>
      <c r="G466" s="5" t="inlineStr">
        <is>
          <t>Alpha/Beta Hydrolase</t>
        </is>
      </c>
      <c r="H466" s="5" t="inlineStr">
        <is>
          <t>3.40.50.1820</t>
        </is>
      </c>
      <c r="I466" s="5" t="inlineStr">
        <is>
          <t>Bacteria</t>
        </is>
      </c>
      <c r="J466" s="5" t="inlineStr">
        <is>
          <t>Paenibacillus amylolyticus TB13</t>
        </is>
      </c>
      <c r="K466" s="5" t="inlineStr">
        <is>
          <t>PLaA</t>
        </is>
      </c>
      <c r="L466" s="5" t="inlineStr">
        <is>
          <t>PLA</t>
        </is>
      </c>
      <c r="M466" s="5" t="inlineStr">
        <is>
          <t>EC 3.1.1.1</t>
        </is>
      </c>
      <c r="N466" s="5" t="inlineStr">
        <is>
          <t>Akutsu-Shigeno, 2003, Teeraphatpornchai, 2003</t>
        </is>
      </c>
      <c r="O466" s="5" t="inlineStr">
        <is>
          <t>Q83VDO</t>
        </is>
      </c>
      <c r="P466" s="5" t="inlineStr">
        <is>
          <t>BAC67195.1</t>
        </is>
      </c>
      <c r="Q466" s="5" t="inlineStr">
        <is>
          <t>-</t>
        </is>
      </c>
      <c r="R466" s="5" t="inlineStr">
        <is>
          <t>Q83VDO</t>
        </is>
      </c>
      <c r="S466" s="5" t="inlineStr">
        <is>
          <t>PLA depolymerase</t>
        </is>
      </c>
      <c r="T466" s="5" t="inlineStr">
        <is>
          <t>Paenibacillus amylolyticus</t>
        </is>
      </c>
      <c r="U466" s="5">
        <f>FALSE()</f>
        <v/>
      </c>
      <c r="V466" s="5">
        <f>TRUE()</f>
        <v/>
      </c>
      <c r="W466" s="5" t="inlineStr">
        <is>
          <t>MRKLKLLLMVCMSMVFIFTLPGMGQSLKASAATERTPIVFVHGLTGSDSNFALIERYLRGEGWSSDELFAIDLPSKAGNQLLNSAAISRFVDDVLRQTGHSKVHIVAHSMGGANSLYYILNRGGIDKVDKLITLGGANRLTTSRAPDGIRVTSIYSTSDTIVSPALSRLDGANNISVNLVTHIGLLYNSRVNALIKAALIE</t>
        </is>
      </c>
      <c r="X466" s="5" t="n">
        <v>1</v>
      </c>
      <c r="Y466" s="5" t="inlineStr">
        <is>
          <t>PLaA</t>
        </is>
      </c>
      <c r="Z466" s="5" t="inlineStr">
        <is>
          <t>BAC67195.1</t>
        </is>
      </c>
      <c r="AA466" s="5" t="inlineStr">
        <is>
          <t>Direct</t>
        </is>
      </c>
      <c r="AB466" s="5" t="n">
        <v>71</v>
      </c>
      <c r="AC466" s="5" t="inlineStr">
        <is>
          <t>10.1128/aem.69.5.2498-2504.2003; 10.1023/a:1021713711160</t>
        </is>
      </c>
      <c r="AD466" s="5" t="inlineStr">
        <is>
          <t>MRKLKLLLMVCMSMVFIFTLPGMGQSLKASAATERTPIVFVHGLTGSDSNFALIERYLRGEGWSSDELFAIDLPSKAGNQLLNSAAISRFVDDVLRQTGHSKVHIVAHSMGGANSLYYILNRGGIDKVDKLITLGGANRLTTSRAPDGIRVTSIYSTSDTIVSPALSRLDGANNISVNLVTHIGLLYNSRVNALIKAALIE</t>
        </is>
      </c>
      <c r="AE466" s="5" t="inlineStr">
        <is>
          <t>Paenibacillus amylolyticus</t>
        </is>
      </c>
      <c r="AF466" s="5" t="n">
        <v>1451</v>
      </c>
      <c r="AG466" s="5" t="inlineStr">
        <is>
          <t>supp_unavailable</t>
        </is>
      </c>
      <c r="AH466" s="5" t="inlineStr">
        <is>
          <t>ncbi</t>
        </is>
      </c>
      <c r="AI466" s="5" t="n"/>
      <c r="AJ466" s="5" t="n"/>
      <c r="AK466" s="5" t="n"/>
      <c r="AL466" s="5" t="n">
        <v>1</v>
      </c>
    </row>
    <row r="467" ht="15" customHeight="1" s="12">
      <c r="A467" s="5" t="inlineStr">
        <is>
          <t>both</t>
        </is>
      </c>
      <c r="B467" s="5" t="inlineStr">
        <is>
          <t>MLYHAYQIYADMILPACTLAELAAATLAANPRSGGFDAVPRLRAACELIALVRLTHHRPAFGIDHATVGGQPVPVTEEVVARTPFCSLLHFRRHGIVGQPRVLLVAPMSGHFATLLRGTVQTMLADHDVYLTDWHNPRDIPLLAGRFGFDEFVQHLIGFLQTLGGGTHLVAICQPAVAALAAAALMAEDGDPAQPPSLTLMAGPIDARVNPTKVNALAMSQPLEWFERTLIGMVPLRFAGAMRRVYPGHVQLLAFMSMNPERHEQALRELYALRERGEHDKADAIRDFYIEYFATMDLTAEFYLETVSLVFQRFLLAQGLLDVSGRRVRTRAIHRTALLTVEGERDDICAIGQTVAAQDLCSSLRPYMRMHHVQTGVGHYGVFNGRRWETQVYPLVRNTIYTSS</t>
        </is>
      </c>
      <c r="C467" s="5" t="n">
        <v>158</v>
      </c>
      <c r="D467" s="5" t="inlineStr">
        <is>
          <t>Q0K7T2</t>
        </is>
      </c>
      <c r="E467" s="5" t="n">
        <v>3</v>
      </c>
      <c r="F467" s="5" t="inlineStr">
        <is>
          <t>PhaZ</t>
        </is>
      </c>
      <c r="G467" s="5" t="inlineStr">
        <is>
          <t>Alpha/Beta Hydrolase</t>
        </is>
      </c>
      <c r="H467" s="5" t="inlineStr">
        <is>
          <t>3.40.50.1820</t>
        </is>
      </c>
      <c r="I467" s="5" t="inlineStr">
        <is>
          <t>Bacteria</t>
        </is>
      </c>
      <c r="J467" s="5" t="inlineStr">
        <is>
          <t>Cuprivadus necator ATC17699</t>
        </is>
      </c>
      <c r="K467" s="5" t="inlineStr">
        <is>
          <t>PhaZ2</t>
        </is>
      </c>
      <c r="L467" s="5" t="inlineStr">
        <is>
          <t>PHA</t>
        </is>
      </c>
      <c r="M467" s="5" t="inlineStr">
        <is>
          <t>-</t>
        </is>
      </c>
      <c r="N467" s="5" t="inlineStr">
        <is>
          <t>York, 2003</t>
        </is>
      </c>
      <c r="O467" s="5" t="inlineStr">
        <is>
          <t>Q0K7T2</t>
        </is>
      </c>
      <c r="P467" s="5" t="inlineStr">
        <is>
          <t>Q0K7T2</t>
        </is>
      </c>
      <c r="Q467" s="5" t="inlineStr">
        <is>
          <t>-</t>
        </is>
      </c>
      <c r="R467" s="5" t="inlineStr">
        <is>
          <t>Q0K7T2</t>
        </is>
      </c>
      <c r="S467" s="5" t="inlineStr">
        <is>
          <t>poly(3-hydroxybutyrate) depolymerase</t>
        </is>
      </c>
      <c r="T467" s="5" t="inlineStr">
        <is>
          <t>Cupriavidus necator H16</t>
        </is>
      </c>
      <c r="U467" s="5">
        <f>FALSE()</f>
        <v/>
      </c>
      <c r="V467" s="5">
        <f>TRUE()</f>
        <v/>
      </c>
      <c r="W467" s="5" t="inlineStr">
        <is>
          <t>MLYHAYQIYADMILPACTLAELAAATLAANPRSGGFDAVPRLRAACELIALVRLTHHRPAFGIDHATVGGQPVPVTEEVVARTPFCSLLHFRRHGIVGQPRVLLVAPMSGHFATLLRGTVQTMLADHDVYLTDWHNPRDIPLLAGRFGFDEFVQHLIGFLQTLGGGTHLVAICQPAVAALAAAALMAEDGDPAQPPSLTLMAGPIDARVNPTKVNALAMSQPLEWFERTLIGMVPLRFAGAMRRVYPGHVQLLAFMSMNPERHEQALRELYALRERGEHDKADAIRDFYIEYFATMDLTAEFYLETVSLVFQRFLLAQGLLDVSGRRVRTRAIHRTALLTVEGERDDICAIGQTVAAQDLCSSLRPYMRMHHVQTGVGHYGVFNGRRWETQVYPLVRNTIYTSS</t>
        </is>
      </c>
      <c r="X467" s="5" t="n">
        <v>1</v>
      </c>
      <c r="Y467" s="5" t="inlineStr">
        <is>
          <t>PhaZ2</t>
        </is>
      </c>
      <c r="Z467" s="5" t="inlineStr">
        <is>
          <t>WP_010813770.1</t>
        </is>
      </c>
      <c r="AA467" s="5" t="inlineStr">
        <is>
          <t>Direct</t>
        </is>
      </c>
      <c r="AB467" s="5" t="n">
        <v>101</v>
      </c>
      <c r="AC467" s="5" t="inlineStr">
        <is>
          <t>10.1128%2FJB.185.13.3788-3794.2003</t>
        </is>
      </c>
      <c r="AD467" s="5" t="inlineStr">
        <is>
          <t>MLYHAYQIYADMILPACTLAELAAATLAANPRSGGFDAVPRLRAACELIALVRLTHHRPAFGIDHATVGGQPVPVTEEVVARTPFCSLLHFRRHGIVGQPRVLLVAPMSGHFATLLRGTVQTMLADHDVYLTDWHNPRDIPLLAGRFGFDEFVQHLIGFLQTLGGGTHLVAICQPAVAALAAAALMAEDGDPAQPPSLTLMAGPIDARVNPTKVNALAMSQPLEWFERTLIGMVPLRFAGAMRRVYPGHVQLLAFMSMNPERHEQALRELYALRERGEHDKADAIRDFYIEYFATMDLTAEFYLETVSLVFQRFLLAQGLLDVSGRRVRTRAIHRTALLTVEGERDDICAIGQTVAAQDLCSSLRPYMRMHHVQTGVGHYGVFNGRRWETQVYPLVRNTIYTSS</t>
        </is>
      </c>
      <c r="AE467" s="5" t="inlineStr">
        <is>
          <t>Cupriavidus necator</t>
        </is>
      </c>
      <c r="AF467" s="5" t="n">
        <v>106590</v>
      </c>
      <c r="AG467" s="5" t="inlineStr">
        <is>
          <t>supp_unavailable</t>
        </is>
      </c>
      <c r="AH467" s="5" t="inlineStr">
        <is>
          <t>ncbi</t>
        </is>
      </c>
      <c r="AI467" s="5" t="n"/>
      <c r="AJ467" s="5" t="n"/>
      <c r="AK467" s="5" t="n"/>
      <c r="AL467" s="5" t="n">
        <v>1</v>
      </c>
    </row>
    <row r="468" ht="15" customHeight="1" s="12">
      <c r="A468" s="5" t="inlineStr">
        <is>
          <t>both</t>
        </is>
      </c>
      <c r="B468" s="5" t="inlineStr">
        <is>
          <t>MLVSALALAVLSAASLGRAAPTPESAEAHELEARATSSACPQYVLINTRGTGEPQGQSAGFRTMNSQITAALSGGTIYNTVYTADFSQNSAAGTADIIRRINSGLAANPNVCYILQGYSQGAAATVVALQQLGTSGAAFNAVKGVFLIGNPDHKSGLTCNVDSNGGTTTRNVNGLSVAYQGSVPSGWVSKTLDVCAYGDGVCDTAHGFGINAQHLSYPSDQGVQTMGYKFAVNKLGGSA</t>
        </is>
      </c>
      <c r="C468" s="5" t="n">
        <v>144</v>
      </c>
      <c r="D468" s="5" t="inlineStr">
        <is>
          <t>BAC67242.1</t>
        </is>
      </c>
      <c r="E468" s="5" t="n">
        <v>2</v>
      </c>
      <c r="F468" s="5" t="inlineStr">
        <is>
          <t>Cut</t>
        </is>
      </c>
      <c r="G468" s="5" t="inlineStr">
        <is>
          <t>Alpha/Beta Hydrolase</t>
        </is>
      </c>
      <c r="H468" s="5" t="inlineStr">
        <is>
          <t>3.40.50.1820</t>
        </is>
      </c>
      <c r="I468" s="5" t="inlineStr">
        <is>
          <t>Eukaryota</t>
        </is>
      </c>
      <c r="J468" s="5" t="inlineStr">
        <is>
          <t>Cryptococcus sp.</t>
        </is>
      </c>
      <c r="K468" s="5" t="inlineStr">
        <is>
          <t>S-2; CLE; cutinase</t>
        </is>
      </c>
      <c r="L468" s="5" t="inlineStr">
        <is>
          <t>PLA</t>
        </is>
      </c>
      <c r="M468" s="5" t="inlineStr">
        <is>
          <t>EC:3.1.1.74</t>
        </is>
      </c>
      <c r="N468" s="5" t="inlineStr">
        <is>
          <t>Masaki, 2005</t>
        </is>
      </c>
      <c r="O468" s="5" t="inlineStr">
        <is>
          <t>AB102945.1; Q874E</t>
        </is>
      </c>
      <c r="P468" s="5" t="inlineStr">
        <is>
          <t>BAC67242.1</t>
        </is>
      </c>
      <c r="Q468" s="5" t="inlineStr">
        <is>
          <t>-</t>
        </is>
      </c>
      <c r="R468" s="5" t="inlineStr">
        <is>
          <t>Q874E9</t>
        </is>
      </c>
      <c r="S468" s="5" t="inlineStr">
        <is>
          <t>cutinase-like protein</t>
        </is>
      </c>
      <c r="T468" s="5" t="inlineStr">
        <is>
          <t>Cryptococcus sp. S-2</t>
        </is>
      </c>
      <c r="U468" s="5">
        <f>FALSE()</f>
        <v/>
      </c>
      <c r="V468" s="5">
        <f>TRUE()</f>
        <v/>
      </c>
      <c r="W468" s="5" t="inlineStr">
        <is>
          <t>MLVSALALAVLSAASLGRAAPTPESAEAHELEARATSSACPQYVLINTRGTGEPQGQSAGFRTMNSQITAALSGGTIYNTVYTADFSQNSAAGTADIIRRINSGLAANPNVCYILQGYSQGAAATVVALQQLGTSGAAFNAVKGVFLIGNPDHKSGLTCNVDSNGGTTTRNVNGLSVAYQGSVPSGWVSKTLDVCAYGDGVCDTAHGFGINAQHLSYPSDQGVQTMGYKFAVNKLGGSA</t>
        </is>
      </c>
      <c r="X468" s="5" t="n">
        <v>1</v>
      </c>
      <c r="Y468" s="5" t="inlineStr">
        <is>
          <t>Cutinase</t>
        </is>
      </c>
      <c r="Z468" s="5" t="inlineStr">
        <is>
          <t>BAC67242.1</t>
        </is>
      </c>
      <c r="AA468" s="5" t="inlineStr">
        <is>
          <t>Direct</t>
        </is>
      </c>
      <c r="AB468" s="5" t="n">
        <v>95</v>
      </c>
      <c r="AC468" s="5" t="inlineStr">
        <is>
          <t>10.1128/aem.71.11.7548-7550.2005</t>
        </is>
      </c>
      <c r="AD468" s="5" t="inlineStr">
        <is>
          <t>MLVSALALAVLSAASLGRAAPTPESAEAHELEARATSSACPQYVLINTRGTGEPQGQSAGFRTMNSQITAALSGGTIYNTVYTADFSQNSAAGTADIIRRINSGLAANPNVCYILQGYSQGAAATVVALQQLGTSGAAFNAVKGVFLIGNPDHKSGLTCNVDSNGGTTTRNVNGLSVAYQGSVPSGWVSKTLDVCAYGDGVCDTAHGFGINAQHLSYPSDQGVQTMGYKFAVNKLGGSA</t>
        </is>
      </c>
      <c r="AE468" s="5" t="inlineStr">
        <is>
          <t>Cryptococcus sp. S-2</t>
        </is>
      </c>
      <c r="AF468" s="5" t="n">
        <v>87049</v>
      </c>
      <c r="AG468" s="5" t="inlineStr">
        <is>
          <t>supp_unavailable</t>
        </is>
      </c>
      <c r="AH468" s="5" t="inlineStr">
        <is>
          <t>ncbi</t>
        </is>
      </c>
      <c r="AI468" s="5" t="n"/>
      <c r="AJ468" s="5" t="n"/>
      <c r="AK468" s="5" t="n"/>
      <c r="AL468" s="5" t="n">
        <v>1</v>
      </c>
    </row>
    <row r="469" ht="15" customHeight="1" s="12">
      <c r="A469" s="5" t="inlineStr">
        <is>
          <t>both</t>
        </is>
      </c>
      <c r="B469" s="5" t="inlineStr">
        <is>
          <t>MLTHSISPEETDGGRRTPLSRMSRLAARVGVTLSLAAGLTAGVTAPAHA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  <c r="C469" s="5" t="n">
        <v>72</v>
      </c>
      <c r="D469" s="5" t="inlineStr">
        <is>
          <t>WP_078759821.1</t>
        </is>
      </c>
      <c r="E469" s="5" t="n">
        <v>1</v>
      </c>
      <c r="F469" s="5" t="inlineStr">
        <is>
          <t>Ipet</t>
        </is>
      </c>
      <c r="G469" s="5" t="inlineStr">
        <is>
          <t>Alpha/Beta Hydrolase</t>
        </is>
      </c>
      <c r="H469" s="5" t="inlineStr">
        <is>
          <t>3.40.50.1820</t>
        </is>
      </c>
      <c r="I469" s="5" t="inlineStr">
        <is>
          <t>Bacteria</t>
        </is>
      </c>
      <c r="J469" s="5" t="inlineStr">
        <is>
          <t>Marinactinospora thermotolerans</t>
        </is>
      </c>
      <c r="K469" s="5" t="inlineStr">
        <is>
          <t>MtCut; Enzyme 606</t>
        </is>
      </c>
      <c r="L469" s="5" t="inlineStr">
        <is>
          <t>PET</t>
        </is>
      </c>
      <c r="M469" s="5" t="inlineStr">
        <is>
          <t>-</t>
        </is>
      </c>
      <c r="N469" s="5" t="inlineStr">
        <is>
          <t>Liu et al. 2022 Erickson, 2022,</t>
        </is>
      </c>
      <c r="O469" s="5" t="inlineStr">
        <is>
          <t>WP_078759821.1</t>
        </is>
      </c>
      <c r="P469" s="5" t="inlineStr">
        <is>
          <t>WP_078759821.1</t>
        </is>
      </c>
      <c r="Q469" s="5" t="inlineStr">
        <is>
          <t>7QJO</t>
        </is>
      </c>
      <c r="R469" s="5" t="inlineStr">
        <is>
          <t>-</t>
        </is>
      </c>
      <c r="S469" s="5" t="inlineStr">
        <is>
          <t>dienelactone hydrolase family protein</t>
        </is>
      </c>
      <c r="T469" s="5" t="inlineStr">
        <is>
          <t>Marinactinospora thermotolerans</t>
        </is>
      </c>
      <c r="U469" s="5">
        <f>FALSE()</f>
        <v/>
      </c>
      <c r="V469" s="5">
        <f>TRUE()</f>
        <v/>
      </c>
      <c r="W469" s="5" t="inlineStr">
        <is>
          <t>MLTHSISPEETDGGRRTPLSRMSRLAARVGVTLSLAAGLTAGVTAPAHA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  <c r="X469" s="5" t="n">
        <v>1</v>
      </c>
      <c r="Y469" s="5" t="n">
        <v>606</v>
      </c>
      <c r="Z469" s="5" t="inlineStr">
        <is>
          <t>SJZ42839.1</t>
        </is>
      </c>
      <c r="AA469" s="5" t="inlineStr">
        <is>
          <t>Direct</t>
        </is>
      </c>
      <c r="AB469" s="5" t="n">
        <v>149</v>
      </c>
      <c r="AC469" s="5" t="inlineStr">
        <is>
          <t>10.1038/s41467-022-35237-x; 10.3389/fbioe.2022.865787</t>
        </is>
      </c>
      <c r="AD469" s="5" t="inlineStr">
        <is>
          <t>MLTHSISPEETDGGRRTPLSRMSRLAARVGVTLSLAAGLTAGVTAPAHA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  <c r="AE469" s="5" t="inlineStr">
        <is>
          <t>Marinactinospora thermotolerans</t>
        </is>
      </c>
      <c r="AF469" s="5" t="n">
        <v>531310</v>
      </c>
      <c r="AG469" s="5" t="inlineStr">
        <is>
          <t>supp_unavailable</t>
        </is>
      </c>
      <c r="AH469" s="5" t="inlineStr">
        <is>
          <t>ncbi</t>
        </is>
      </c>
      <c r="AI469" s="5" t="n"/>
      <c r="AJ469" s="5" t="n"/>
      <c r="AK469" s="5" t="n"/>
      <c r="AL469" s="5" t="n">
        <v>1</v>
      </c>
    </row>
    <row r="470" ht="15" customHeight="1" s="12">
      <c r="A470" s="5" t="inlineStr">
        <is>
          <t>both</t>
        </is>
      </c>
      <c r="B470" s="5" t="inlineStr">
        <is>
          <t>MLTDNWKELAGKAQSTFQKSLKQAIELADFDEGLAKRYGALPSAIGANVEDFGSPAQFPLEEYLKALPKKVLDITEKDPVELLKDLKSRKVTCVEVLKAYTAASIVASKLTNCVQEFLPIEALQYAQKLDADYETKKHLPLYGLPFSIKEMIPFVGRSVTHGSLCYLDRIVDYNADIVNILIANGAYPFVRTTNPQSLMMLECVSFSHGRTVNAYNGMLTSGGSSGGEGALNGMRASPFGLGSDIGGSIRCPAAFNGIYGLRSTLGRIPTADYFSCNRGSESILSVTGPLSRSLDTVNLVMKTVIEAKPWLIDPTLVPLDWKRPENKKFRVGIYVSDHIVNPSPPINRALSMVTEKLKSLGNFEVVTFEPYKPEKVTEILGKLYFEDGARDFRATLQTGEPLLEQTRWAIEGAEDLDMHDQWYWNLQKQAYRKEFLKHWCSYTDNDGNVLDAVIAPVFPNVAAKHETTKYWTYTSQWNLLDYPVLAFPVTKVDESLDQPYKNYKPLNDLDKYFYEQYDSPSSFKNAPANLCLVGLRFTDEKLVEIANILRN</t>
        </is>
      </c>
      <c r="C470" s="5" t="n">
        <v>197</v>
      </c>
      <c r="D470" s="5" t="inlineStr">
        <is>
          <t>XP_036664376.1</t>
        </is>
      </c>
      <c r="E470" s="5" t="n">
        <v>10</v>
      </c>
      <c r="F470" s="5" t="inlineStr">
        <is>
          <t>NylA</t>
        </is>
      </c>
      <c r="G470" s="5" t="inlineStr">
        <is>
          <t>Amidase signature</t>
        </is>
      </c>
      <c r="H470" s="5" t="inlineStr">
        <is>
          <t>3.90.1300.10</t>
        </is>
      </c>
      <c r="I470" s="5" t="inlineStr">
        <is>
          <t>Eukaryotic</t>
        </is>
      </c>
      <c r="J470" s="5" t="inlineStr">
        <is>
          <t>Candida parapsilosis NBRC 708</t>
        </is>
      </c>
      <c r="K470" s="5" t="inlineStr">
        <is>
          <t>CPUTNase</t>
        </is>
      </c>
      <c r="L470" s="5" t="inlineStr">
        <is>
          <t>PUR</t>
        </is>
      </c>
      <c r="M470" s="5" t="inlineStr">
        <is>
          <t>-</t>
        </is>
      </c>
      <c r="N470" s="5" t="inlineStr">
        <is>
          <t>Masaki, 2020</t>
        </is>
      </c>
      <c r="O470" s="5" t="inlineStr">
        <is>
          <t>BBP47208; XP_036664376</t>
        </is>
      </c>
      <c r="P470" s="5" t="inlineStr">
        <is>
          <t>XP_036664376</t>
        </is>
      </c>
      <c r="Q470" s="5" t="inlineStr">
        <is>
          <t>-</t>
        </is>
      </c>
      <c r="R470" s="5" t="inlineStr">
        <is>
          <t>-</t>
        </is>
      </c>
      <c r="S470" s="5" t="inlineStr">
        <is>
          <t>uncharacterized protein CPAR2_301880</t>
        </is>
      </c>
      <c r="T470" s="5" t="inlineStr">
        <is>
          <t>Candida parapsilosis</t>
        </is>
      </c>
      <c r="U470" s="5">
        <f>FALSE()</f>
        <v/>
      </c>
      <c r="V470" s="5">
        <f>TRUE()</f>
        <v/>
      </c>
      <c r="W470" s="5" t="inlineStr">
        <is>
          <t>MLTDNWKELAGKAQSTFQKSLKQAIELADFDEGLAKRYGALPSAIGANVEDFGSPAQFPLEEYLKALPKKVLDITEKDPVELLKDLKSRKVTCVEVLKAYTAASIVASKLTNCVQEFLPIEALQYAQKLDADYETKKHLPLYGLPFSIKEMIPFVGRSVTHGSLCYLDRIVDYNADIVNILIANGAYPFVRTTNPQSLMMLECVSFSHGRTVNAYNGMLTSGGSSGGEGALNGMRASPFGLGSDIGGSIRCPAAFNGIYGLRSTLGRIPTADYFSCNRGSESILSVTGPLSRSLDTVNLVMKTVIEAKPWLIDPTLVPLDWKRPENKKFRVGIYVSDHIVNPSPPINRALSMVTEKLKSLGNFEVVTFEPYKPEKVTEILGKLYFEDGARDFRATLQTGEPLLEQTRWAIEGAEDLDMHDQWYWNLQKQAYRKEFLKHWCSYTDNDGNVLDAVIAPVFPNVAAKHETTKYWTYTSQWNLLDYPVLAFPVTKVDESLDQPYKNYKPLNDLDKYFYEQYDSPSSFKNAPANLCLVGLRFTDEKLVEIANILRN</t>
        </is>
      </c>
      <c r="X470" s="5" t="n">
        <v>1</v>
      </c>
      <c r="Y470" s="5" t="inlineStr">
        <is>
          <t>CPUTNase</t>
        </is>
      </c>
      <c r="Z470" s="5" t="inlineStr">
        <is>
          <t>BBP47208.1</t>
        </is>
      </c>
      <c r="AA470" s="5" t="inlineStr">
        <is>
          <t>Direct</t>
        </is>
      </c>
      <c r="AB470" s="5" t="n">
        <v>166</v>
      </c>
      <c r="AC470" s="5" t="inlineStr">
        <is>
          <t>10.1016/j.jbiosc.2020.03.005</t>
        </is>
      </c>
      <c r="AD470" s="5" t="inlineStr">
        <is>
          <t>MLTDNWKELAGKAQSTFQKSLKQAIELADFDEGLAKRYGALPSAIGANVEDFGSPAQFPLEEYLKALPKKVLDITEKDPVELLKDLKSRKVTCVEVLKAYTAASIVASKLTNCVQEFLPIEALQYAQKLDADYETKKHLPLYGLPFSIKEMIPFVGRSVTHGSLCYLDRIVDYNADIVNILIANGAYPFVRTTNPQSLMMLECVSFSHGRTVNAYNGMLTSGGSSGGEGALNGMRASPFGLGSDIGGSIRCPAAFNGIYGLRSTLGRIPTADYFSCNRGSESILSVTGPLSRSLDTVNLVMKTVIEAKPWLIDPTLVPLDWKRPENKKFRVGIYVSDHIVNPSPPINRALSMVTEKLKSLGNFEVVTFEPYKPEKVTEILGKLYFEDGARDFRATLQTGEPLLEQTRWAIEGAEDLDMHDQWYWNLQKQAYRKEFLKHWCSYTDNDGNVLDAVIAPVFPNVAAKHETTKYWTYTSQWNLLDYPVLAFPVTKVDESLDQPYKNYKPLNDLDKYFYEQYDSPSSFKNAPANLCLVGLRFTDEKLVEIANILRN</t>
        </is>
      </c>
      <c r="AE470" s="5" t="inlineStr">
        <is>
          <t>Candida parapsilosis</t>
        </is>
      </c>
      <c r="AF470" s="5" t="n">
        <v>5480</v>
      </c>
      <c r="AG470" s="5" t="inlineStr">
        <is>
          <t>supp_unavailable</t>
        </is>
      </c>
      <c r="AH470" s="5" t="inlineStr">
        <is>
          <t>ncbi</t>
        </is>
      </c>
      <c r="AI470" s="5" t="n"/>
      <c r="AJ470" s="5" t="n"/>
      <c r="AK470" s="5" t="n"/>
      <c r="AL470" s="5" t="n">
        <v>1</v>
      </c>
    </row>
    <row r="471" ht="15" customHeight="1" s="12">
      <c r="A471" s="5" t="inlineStr">
        <is>
          <t>both</t>
        </is>
      </c>
      <c r="B471" s="5" t="inlineStr">
        <is>
          <t>MINNIFPKSLLSMIAAGALLMSASAFATNPPADPPPGGDSPYARGPDPTVSFLEASSGPYSTRTSRVSGLVSGFGGGTIHYPTGVEGTMAAIVVIPGFVSAESSIDWWGPKLASHGFVVMTIDTNTGFDQPPSRARQINNALDYLISQNSSRTSPVRGMIDTDRLGVIGWSMGGGGTLRVASEGRIKAAIPLAPWDTVSTYAGRSQAPTLIFACQADIIAPVAAHASPFYNRLPNGIEKAFVEINNGTHYCANGGGLNNDVLSRFGVSWMKRFLDEDTRYSQFLCGPNHTSDRKISEYRGNCPY</t>
        </is>
      </c>
      <c r="C471" s="5" t="n">
        <v>77</v>
      </c>
      <c r="D471" s="5" t="inlineStr">
        <is>
          <t>WP_090538641.1</t>
        </is>
      </c>
      <c r="E471" s="5" t="n">
        <v>1</v>
      </c>
      <c r="F471" s="5" t="inlineStr">
        <is>
          <t>Ipet</t>
        </is>
      </c>
      <c r="G471" s="5" t="inlineStr">
        <is>
          <t>Alpha/Beta Hydrolase</t>
        </is>
      </c>
      <c r="H471" s="5" t="inlineStr">
        <is>
          <t>3.40.50.1820</t>
        </is>
      </c>
      <c r="I471" s="5" t="inlineStr">
        <is>
          <t>Bacteria</t>
        </is>
      </c>
      <c r="J471" s="5" t="inlineStr">
        <is>
          <t>Halopseudomonas formosensis</t>
        </is>
      </c>
      <c r="K471" s="5" t="inlineStr">
        <is>
          <t>Hfor_PE-H</t>
        </is>
      </c>
      <c r="L471" s="5" t="inlineStr">
        <is>
          <t>PUR</t>
        </is>
      </c>
      <c r="M471" s="5" t="inlineStr">
        <is>
          <t>-</t>
        </is>
      </c>
      <c r="N471" s="5" t="inlineStr">
        <is>
          <t>de Witt, 2023</t>
        </is>
      </c>
      <c r="O471" s="5" t="inlineStr">
        <is>
          <t>WP_090538641.1</t>
        </is>
      </c>
      <c r="P471" s="5" t="inlineStr">
        <is>
          <t>WP_090538641.1</t>
        </is>
      </c>
      <c r="Q471" s="5" t="inlineStr">
        <is>
          <t>-</t>
        </is>
      </c>
      <c r="R471" s="5" t="inlineStr">
        <is>
          <t>-</t>
        </is>
      </c>
      <c r="S471" s="5" t="inlineStr">
        <is>
          <t>dienelactone hydrolase family protein</t>
        </is>
      </c>
      <c r="T471" s="5" t="inlineStr">
        <is>
          <t>Halopseudomonas formosensis</t>
        </is>
      </c>
      <c r="U471" s="5">
        <f>FALSE()</f>
        <v/>
      </c>
      <c r="V471" s="5">
        <f>TRUE()</f>
        <v/>
      </c>
      <c r="W471" s="5" t="inlineStr">
        <is>
          <t>MINNIFPKSLLSMIAAGALLMSASAFATNPPADPPPGGDSPYARGPDPTVSFLEASSGPYSTRTSRVSGLVSGFGGGTIHYPTGVEGTMAAIVVIPGFVSAESSIDWWGPKLASHGFVVMTIDTNTGFDQPPSRARQINNALDYLISQNSSRTSPVRGMIDTDRLGVIGWSMGGGGTLRVASEGRIKAAIPLAPWDTVSTYAGRSQAPTLIFACQADIIAPVAAHASPFYNRLPNGIEKAFVEINNGTHYCANGGGLNNDVLSRFGVSWMKRFLDEDTRYSQFLCGPNHTSDRKISEYRGNCPY</t>
        </is>
      </c>
      <c r="X471" s="5" t="n">
        <v>1</v>
      </c>
      <c r="Y471" s="5" t="inlineStr">
        <is>
          <t>Hfor_PE-H</t>
        </is>
      </c>
      <c r="Z471" s="5" t="inlineStr">
        <is>
          <t>WP_090538641</t>
        </is>
      </c>
      <c r="AA471" s="5" t="inlineStr">
        <is>
          <t>Direct</t>
        </is>
      </c>
      <c r="AB471" s="5" t="n">
        <v>200</v>
      </c>
      <c r="AC471" s="5" t="inlineStr">
        <is>
          <t>10.1111/1751-7915.14362</t>
        </is>
      </c>
      <c r="AD471" s="5" t="inlineStr">
        <is>
          <t>MINNIFPKSLLSMIAAGALLMSASAFATNPPADPPPGGDSPYARGPDPTVSFLEASSGPYSTRTSRVSGLVSGFGGGTIHYPTGVEGTMAAIVVIPGFVSAESSIDWWGPKLASHGFVVMTIDTNTGFDQPPSRARQINNALDYLISQNSSRTSPVRGMIDTDRLGVIGWSMGGGGTLRVASEGRIKAAIPLAPWDTVSTYAGRSQAPTLIFACQADIIAPVAAHASPFYNRLPNGIEKAFVEINNGTHYCANGGGLNNDVLSRFGVSWMKRFLDEDTRYSQFLCGPNHTSDRKISEYRGNCPY</t>
        </is>
      </c>
      <c r="AE471" s="5" t="inlineStr">
        <is>
          <t>Halopseudomonas formosensis</t>
        </is>
      </c>
      <c r="AF471" s="5" t="n">
        <v>1002526</v>
      </c>
      <c r="AG471" s="5" t="inlineStr">
        <is>
          <t>supp_unavailable</t>
        </is>
      </c>
      <c r="AH471" s="5" t="inlineStr">
        <is>
          <t>ncbi</t>
        </is>
      </c>
      <c r="AI471" s="5" t="n"/>
      <c r="AJ471" s="5" t="n"/>
      <c r="AK471" s="5" t="n"/>
      <c r="AL471" s="5" t="n">
        <v>1</v>
      </c>
    </row>
    <row r="472" ht="15" customHeight="1" s="12">
      <c r="A472" s="5" t="inlineStr">
        <is>
          <t>both</t>
        </is>
      </c>
      <c r="B472" s="5" t="inlineStr">
        <is>
          <t>MINRTLPNSLLSMLAAGALLLSTSVMATNPPVDEPTDPGDSYARGPDPTVAFLEASSGPYSTRTSRVSGLVSGFGGGTIHYPTGTTGTMAAIVVIPGFVSAESSIDWWGPKLASHGFVVMTIDTNTGFDQPPSRARQINNALDYLVDQNSRRTSPVNGMIDTDRLGVIGWSMGGGGTLRVASQGRIKAAIPLAPWDTTNARSVQAPTLIFACQADIIAPVGVHASPFYNQLPNDIEKAYVEISGGSHYCANGGGLNNDVLSRLGVSWMKRFLDNDTRYSQFLCGPNHTSDRRVSEYRGNCPY</t>
        </is>
      </c>
      <c r="C472" s="5" t="n">
        <v>7</v>
      </c>
      <c r="D472" s="5" t="inlineStr">
        <is>
          <t>ADK73612.1</t>
        </is>
      </c>
      <c r="E472" s="5" t="n">
        <v>1</v>
      </c>
      <c r="F472" s="5" t="inlineStr">
        <is>
          <t>Ipet</t>
        </is>
      </c>
      <c r="G472" s="5" t="inlineStr">
        <is>
          <t>Alpha/Beta Hydrolase</t>
        </is>
      </c>
      <c r="H472" s="5" t="inlineStr">
        <is>
          <t>3.40.50.1820</t>
        </is>
      </c>
      <c r="I472" s="5" t="inlineStr">
        <is>
          <t>Bacteria</t>
        </is>
      </c>
      <c r="J472" s="5" t="inlineStr">
        <is>
          <t>Marinobacter sp.</t>
        </is>
      </c>
      <c r="K472" s="5" t="inlineStr">
        <is>
          <t>PLE629</t>
        </is>
      </c>
      <c r="L472" s="5" t="inlineStr">
        <is>
          <t>PET</t>
        </is>
      </c>
      <c r="M472" s="5" t="inlineStr">
        <is>
          <t>EC 3.1.1.74</t>
        </is>
      </c>
      <c r="N472" s="5" t="inlineStr">
        <is>
          <t>Inglis, 2011; Haernvall, 2017</t>
        </is>
      </c>
      <c r="O472" s="5" t="inlineStr">
        <is>
          <t>ADK73612</t>
        </is>
      </c>
      <c r="P472" s="5" t="inlineStr">
        <is>
          <t>ADK73612.1</t>
        </is>
      </c>
      <c r="Q472" s="5" t="inlineStr">
        <is>
          <t>-</t>
        </is>
      </c>
      <c r="R472" s="5" t="inlineStr">
        <is>
          <t>E9KJL1</t>
        </is>
      </c>
      <c r="S472" s="5" t="inlineStr">
        <is>
          <t>cutinase A precursor</t>
        </is>
      </c>
      <c r="T472" s="5" t="inlineStr">
        <is>
          <t>Ectopseudomonas oleovorans</t>
        </is>
      </c>
      <c r="U472" s="5">
        <f>FALSE()</f>
        <v/>
      </c>
      <c r="V472" s="5">
        <f>TRUE()</f>
        <v/>
      </c>
      <c r="W472" s="5" t="inlineStr">
        <is>
          <t>MINRTLPNSLLSMLAAGALLLSTSVMATNPPVDEPTDPGDSYARGPDPTVAFLEASSGPYSTRTSRVSGLVSGFGGGTIHYPTGTTGTMAAIVVIPGFVSAESSIDWWGPKLASHGFVVMTIDTNTGFDQPPSRARQINNALDYLVDQNSRRTSPVNGMIDTDRLGVIGWSMGGGGTLRVASQGRIKAAIPLAPWDTTNARSVQAPTLIFACQADIIAPVGVHASPFYNQLPNDIEKAYVEISGGSHYCANGGGLNNDVLSRLGVSWMKRFLDNDTRYSQFLCGPNHTSDRRVSEYRGNCPY</t>
        </is>
      </c>
      <c r="X472" s="5" t="n">
        <v>1</v>
      </c>
      <c r="Y472" s="5" t="inlineStr">
        <is>
          <t>PpCutA</t>
        </is>
      </c>
      <c r="Z472" s="5" t="inlineStr">
        <is>
          <t>ADK73612.1</t>
        </is>
      </c>
      <c r="AA472" s="5" t="inlineStr">
        <is>
          <t>Direct</t>
        </is>
      </c>
      <c r="AB472" s="5" t="n">
        <v>7</v>
      </c>
      <c r="AC472" s="5" t="inlineStr">
        <is>
          <t>10.1139/w11-083; 10.1021/acs.est.7b00062</t>
        </is>
      </c>
      <c r="AD472" s="5" t="inlineStr">
        <is>
          <t>MINRTLPNSLLSMLAAGALLLSTSVMATNPPVDEPTDPGDSYARGPDPTVAFLEASSGPYSTRTSRVSGLVSGFGGGTIHYPTGTTGTMAAIVVIPGFVSAESSIDWWGPKLASHGFVVMTIDTNTGFDQPPSRARQINNALDYLVDQNSRRTSPVNGMIDTDRLGVIGWSMGGGGTLRVASQGRIKAAIPLAPWDTTNARSVQAPTLIFACQADIIAPVGVHASPFYNQLPNDIEKAYVEISGGSHYCANGGGLNNDVLSRLGVSWMKRFLDNDTRYSQFLCGPNHTSDRRVSEYRGNCPY</t>
        </is>
      </c>
      <c r="AE472" s="5" t="inlineStr">
        <is>
          <t>Ectopseudomonas oleovorans</t>
        </is>
      </c>
      <c r="AF472" s="5" t="n">
        <v>301</v>
      </c>
      <c r="AG472" s="5" t="inlineStr">
        <is>
          <t>supp_unavailable</t>
        </is>
      </c>
      <c r="AH472" s="5" t="inlineStr">
        <is>
          <t>ncbi</t>
        </is>
      </c>
      <c r="AI472" s="5" t="n"/>
      <c r="AJ472" s="5" t="n"/>
      <c r="AK472" s="5" t="n"/>
      <c r="AL472" s="5" t="n">
        <v>1</v>
      </c>
    </row>
    <row r="473" ht="15" customHeight="1" s="12">
      <c r="A473" s="5" t="inlineStr">
        <is>
          <t>both</t>
        </is>
      </c>
      <c r="B473" s="5" t="inlineStr">
        <is>
          <t>MISKLMGAQRFLPAVAATVTSLVWGLAGTLVAPGEAQALTCGTNSGFVCKGTQTQYAGGFAPGVGYGGFGGGSCTATKTPVIFIHGNGDNAISFDMPPGNVSGYGTPARSVYAELKARGYNDCEIFGVTYLSSSEQGSAQYNYHSSTKYAIIKTFIDKVKAYTGKSQVDIVAHSMGVSMSLATLQYYNNWTSVRKFINLAGGIRGLYSCYYTGYANAAAPTCGSQNYYNSYTFGFFPEGWYYGVWVSNPWTGSGSTNSMRDMPAKRTAVSFYTLSAGFKDQVGCATASFWAGCDSAAKFASTTSNVKAQINVGAGSNATQADYDWADGMPYNAGGGDTTNGVGHFRTKTNTGAIIQRMLLTTCTGLDCAAEYTTGPKAAY</t>
        </is>
      </c>
      <c r="C473" s="5" t="n">
        <v>132</v>
      </c>
      <c r="D473" s="5" t="inlineStr">
        <is>
          <t>Q939Q9</t>
        </is>
      </c>
      <c r="E473" s="5" t="n">
        <v>34</v>
      </c>
      <c r="F473" s="5" t="inlineStr">
        <is>
          <t>Ipet</t>
        </is>
      </c>
      <c r="G473" s="5" t="inlineStr">
        <is>
          <t>Alpha/Beta Hydrolase</t>
        </is>
      </c>
      <c r="H473" s="5" t="inlineStr">
        <is>
          <t>3.40.50.1820</t>
        </is>
      </c>
      <c r="I473" s="5" t="inlineStr">
        <is>
          <t>Bacteria</t>
        </is>
      </c>
      <c r="J473" s="5" t="inlineStr">
        <is>
          <t>Paucimonas lemoignei</t>
        </is>
      </c>
      <c r="K473" s="5" t="inlineStr">
        <is>
          <t>PhaZ7</t>
        </is>
      </c>
      <c r="L473" s="5" t="inlineStr">
        <is>
          <t>PHA</t>
        </is>
      </c>
      <c r="M473" s="5" t="inlineStr">
        <is>
          <t>-</t>
        </is>
      </c>
      <c r="N473" s="5" t="inlineStr">
        <is>
          <t>Jendrossek, 2013</t>
        </is>
      </c>
      <c r="O473" s="5" t="inlineStr">
        <is>
          <t>Q939Q9</t>
        </is>
      </c>
      <c r="P473" s="5" t="inlineStr">
        <is>
          <t>Q939Q9</t>
        </is>
      </c>
      <c r="Q473" s="5" t="inlineStr">
        <is>
          <t>4BTV</t>
        </is>
      </c>
      <c r="R473" s="5" t="inlineStr">
        <is>
          <t>Q939Q9</t>
        </is>
      </c>
      <c r="S473" s="5" t="inlineStr">
        <is>
          <t>Lipase (Class 2)</t>
        </is>
      </c>
      <c r="T473" s="5" t="inlineStr">
        <is>
          <t>Paucimonas lemoignei</t>
        </is>
      </c>
      <c r="U473" s="5">
        <f>FALSE()</f>
        <v/>
      </c>
      <c r="V473" s="5">
        <f>TRUE()</f>
        <v/>
      </c>
      <c r="W473" s="5" t="inlineStr">
        <is>
          <t>MISKLMGAQRFLPAVAATVTSLVWGLAGTLVAPGEAQALTCGTNSGFVCKGTQTQYAGGFAPGVGYGGFGGGSCTATKTPVIFIHGNGDNAISFDMPPGNVSGYGTPARSVYAELKARGYNDCEIFGVTYLSSSEQGSAQYNYHSSTKYAIIKTFIDKVKAYTGKSQVDIVAHSMGVSMSLATLQYYNNWTSVRKFINLAGGIRGLYSCYYTGYANAAAPTCGSQNYYNSYTFGFFPEGWYYGVWVSNPWTGSGSTNSMRDMPAKRTAVSFYTLSAGFKDQVGCATASFWAGCDSAAKFASTTSNVKAQINVGAGSNATQADYDWADGMPYNAGGGDTTNGVGHFRTKTNTGAIIQRMLLTTCTGLDCAAEYTTGPKAAY</t>
        </is>
      </c>
      <c r="X473" s="5" t="n">
        <v>1</v>
      </c>
      <c r="Y473" s="5" t="inlineStr">
        <is>
          <t>PhaZ7</t>
        </is>
      </c>
      <c r="Z473" s="5" t="inlineStr">
        <is>
          <t>WP_132259156.1</t>
        </is>
      </c>
      <c r="AA473" s="5" t="inlineStr">
        <is>
          <t>Direct</t>
        </is>
      </c>
      <c r="AB473" s="5" t="n">
        <v>110</v>
      </c>
      <c r="AC473" s="5" t="inlineStr">
        <is>
          <t>10.1111/mmi.12391</t>
        </is>
      </c>
      <c r="AD473" s="5" t="inlineStr">
        <is>
          <t>MISKLMGAQRFLPAVAATVTSLVWGLAGTLVAPGEAQALTCGTNSGFVCKGTQTQYAGGFAPGVGYGGFGGGSCTATKTPVIFIHGNGDNAISFDMPPGNVSGYGTPARSVYAELKARGYNDCEIFGVTYLSSSEQGSAQYNYHSSTKYAIIKTFIDKVKAYTGKSQVDIVAHSMGVSMSLATLQYYNNWTSVRKFINLAGGIRGLYSCYYTGYANAAAPTCGSQNYYNSYTFGFFPEGWYYGVWVSNPWTGSGSTNSMRDMPAKRTAVSFYTLSAGFKDQVGCATASFWAGCDSAAKFASTTSNVKAQINVGAGSNATQADYDWADGMPYNAGGGDTTNGVGHFRTKTNTGAIIQRMLLTTCTGLDCAAEYTTGPKAAY</t>
        </is>
      </c>
      <c r="AE473" s="5" t="inlineStr">
        <is>
          <t>Paucimonas lemoignei</t>
        </is>
      </c>
      <c r="AF473" s="5" t="n">
        <v>29443</v>
      </c>
      <c r="AG473" s="5" t="inlineStr">
        <is>
          <t>supp_unavailable</t>
        </is>
      </c>
      <c r="AH473" s="5" t="inlineStr">
        <is>
          <t>ncbi</t>
        </is>
      </c>
      <c r="AI473" s="5" t="n"/>
      <c r="AJ473" s="5" t="n"/>
      <c r="AK473" s="5" t="n"/>
      <c r="AL473" s="5" t="n">
        <v>1</v>
      </c>
    </row>
    <row r="474" ht="15" customHeight="1" s="12">
      <c r="A474" s="5" t="inlineStr">
        <is>
          <t>both</t>
        </is>
      </c>
      <c r="B474" s="5" t="inlineStr">
        <is>
          <t>MIVETAYGKVIGIQENDVYVWKGIPYAAPPIGPNRFRPPTSLESWDGVKDCSEFGPSAWQPSLEIMSFLGNQTTHMSEDCLTLNIWSPGTDGKKRPVLVWIHGGAFISGSGSSPLYDGTSFAKNGDLVVVTINYRLGILGFLHLAELGGDGYQNSGNCGILDQIAALKWVKENIAAFGGDPDQVTIFGESAGAMSVGVLLASPKAKGLFNQAILQSGAASHVIKSEKATKNTEFLLHELGLEKTEIQKLEEIPVEQLIEVSVKLPMMSLIPVIDGEILPKHPKELLAEGAAKDIPVLIGTNKDEYRLFTVFDPIWKKEDQAAIKKRFQQTFGTRWTKISQEFIKGKELTQSLYEKLMTIMTFTHPAIHVAEIQTEQGSPVWMYRFDWESQAFNGLLKSCHALEIPFVWNTFSKHGVENFTGDSPGRQELSKKIHNAWIAFAQNGDPNINDLPNWPKYDLQNRTTLIFNSNCEVVHDPDREERIIWEVCQER</t>
        </is>
      </c>
      <c r="C474" s="5" t="n">
        <v>111</v>
      </c>
      <c r="D474" s="5" t="inlineStr">
        <is>
          <t>WP_041847557.1</t>
        </is>
      </c>
      <c r="E474" s="5" t="n">
        <v>23</v>
      </c>
      <c r="F474" s="5" t="inlineStr">
        <is>
          <t>Ipet</t>
        </is>
      </c>
      <c r="G474" s="5" t="inlineStr">
        <is>
          <t>Alpha/Beta Hydrolase</t>
        </is>
      </c>
      <c r="H474" s="5" t="inlineStr">
        <is>
          <t>3.40.50.1820</t>
        </is>
      </c>
      <c r="I474" s="5" t="inlineStr">
        <is>
          <t>Bacteria</t>
        </is>
      </c>
      <c r="J474" s="5" t="inlineStr">
        <is>
          <t>Caldibacillus thermoamylovorans</t>
        </is>
      </c>
      <c r="K474" s="5" t="inlineStr">
        <is>
          <t>Est18_23</t>
        </is>
      </c>
      <c r="L474" s="5" t="inlineStr">
        <is>
          <t>PET</t>
        </is>
      </c>
      <c r="M474" s="5" t="inlineStr">
        <is>
          <t>EC 3.1.1.-</t>
        </is>
      </c>
      <c r="N474" s="5" t="inlineStr">
        <is>
          <t>Yan, 2024</t>
        </is>
      </c>
      <c r="O474" s="5" t="inlineStr">
        <is>
          <t>WP_041847557.1</t>
        </is>
      </c>
      <c r="P474" s="5" t="inlineStr">
        <is>
          <t>WP_041847557.1</t>
        </is>
      </c>
      <c r="Q474" s="5" t="inlineStr">
        <is>
          <t>-</t>
        </is>
      </c>
      <c r="R474" s="5" t="inlineStr">
        <is>
          <t>A0A0D0F5A6</t>
        </is>
      </c>
      <c r="S474" s="5" t="inlineStr">
        <is>
          <t>carboxylesterase/lipase family protein</t>
        </is>
      </c>
      <c r="T474" s="5" t="inlineStr">
        <is>
          <t>Caldibacillus thermoamylovorans</t>
        </is>
      </c>
      <c r="U474" s="5">
        <f>FALSE()</f>
        <v/>
      </c>
      <c r="V474" s="5">
        <f>TRUE()</f>
        <v/>
      </c>
      <c r="W474" s="5" t="inlineStr">
        <is>
          <t>MIVETAYGKVIGIQENDVYVWKGIPYAAPPIGPNRFRPPTSLESWDGVKDCSEFGPSAWQPSLEIMSFLGNQTTHMSEDCLTLNIWSPGTDGKKRPVLVWIHGGAFISGSGSSPLYDGTSFAKNGDLVVVTINYRLGILGFLHLAELGGDGYQNSGNCGILDQIAALKWVKENIAAFGGDPDQVTIFGESAGAMSVGVLLASPKAKGLFNQAILQSGAASHVIKSEKATKNTEFLLHELGLEKTEIQKLEEIPVEQLIEVSVKLPMMSLIPVIDGEILPKHPKELLAEGAAKDIPVLIGTNKDEYRLFTVFDPIWKKEDQAAIKKRFQQTFGTRWTKISQEFIKGKELTQSLYEKLMTIMTFTHPAIHVAEIQTEQGSPVWMYRFDWESQAFNGLLKSCHALEIPFVWNTFSKHGVENFTGDSPGRQELSKKIHNAWIAFAQNGDPNINDLPNWPKYDLQNRTTLIFNSNCEVVHDPDREERIIWEVCQER</t>
        </is>
      </c>
      <c r="X474" s="5" t="n">
        <v>1</v>
      </c>
      <c r="Y474" s="5" t="inlineStr">
        <is>
          <t>Est18_23</t>
        </is>
      </c>
      <c r="Z474" s="5" t="inlineStr">
        <is>
          <t>WP_041847557</t>
        </is>
      </c>
      <c r="AA474" s="5" t="inlineStr">
        <is>
          <t>Direct</t>
        </is>
      </c>
      <c r="AB474" s="5" t="n">
        <v>212</v>
      </c>
      <c r="AC474" s="5" t="inlineStr">
        <is>
          <t>10.1016/j.ijbiomac.2024.129538</t>
        </is>
      </c>
      <c r="AD474" s="5" t="inlineStr">
        <is>
          <t>MIVETAYGKVIGIQENDVYVWKGIPYAAPPIGPNRFRPPTSLESWDGVKDCSEFGPSAWQPSLEIMSFLGNQTTHMSEDCLTLNIWSPGTDGKKRPVLVWIHGGAFISGSGSSPLYDGTSFAKNGDLVVVTINYRLGILGFLHLAELGGDGYQNSGNCGILDQIAALKWVKENIAAFGGDPDQVTIFGESAGAMSVGVLLASPKAKGLFNQAILQSGAASHVIKSEKATKNTEFLLHELGLEKTEIQKLEEIPVEQLIEVSVKLPMMSLIPVIDGEILPKHPKELLAEGAAKDIPVLIGTNKDEYRLFTVFDPIWKKEDQAAIKKRFQQTFGTRWTKISQEFIKGKELTQSLYEKLMTIMTFTHPAIHVAEIQTEQGSPVWMYRFDWESQAFNGLLKSCHALEIPFVWNTFSKHGVENFTGDSPGRQELSKKIHNAWIAFAQNGDPNINDLPNWPKYDLQNRTTLIFNSNCEVVHDPDREERIIWEVCQER</t>
        </is>
      </c>
      <c r="AE474" s="5" t="inlineStr">
        <is>
          <t>Caldibacillus thermoamylovorans</t>
        </is>
      </c>
      <c r="AF474" s="5" t="n">
        <v>35841</v>
      </c>
      <c r="AG474" s="5" t="inlineStr">
        <is>
          <t>supp_unavailable</t>
        </is>
      </c>
      <c r="AH474" s="5" t="inlineStr">
        <is>
          <t>ncbi</t>
        </is>
      </c>
      <c r="AI474" s="5" t="n"/>
      <c r="AJ474" s="5" t="n"/>
      <c r="AK474" s="5" t="n"/>
      <c r="AL474" s="5" t="n">
        <v>1</v>
      </c>
    </row>
    <row r="475" ht="15" customHeight="1" s="12">
      <c r="A475" s="5" t="inlineStr">
        <is>
          <t>both</t>
        </is>
      </c>
      <c r="B475" s="5" t="inlineStr">
        <is>
          <t>MKANLILACASVVAGVSAAPLERRDGACSKYTIIDTRGTGELQGPSTGFLTMNRNILSEVPGGDQYHTVYPADWSQISTQGTLDIVNKVYSTLESDPNHCFVLEGYSQGAAATVNALPKLTGDSFDAVKAVFLIGNPMHKSGLECNVDTLGGKSTAYANGLSVVLGSIPDEWVSKTMDVCNFGDGVCDTLTGVGITLQHLDYPLDANVQNMGTEFVVKALTS</t>
        </is>
      </c>
      <c r="C475" s="5" t="n">
        <v>155</v>
      </c>
      <c r="D475" s="5" t="inlineStr">
        <is>
          <t>XAQ58225.1</t>
        </is>
      </c>
      <c r="E475" s="5" t="n">
        <v>2</v>
      </c>
      <c r="F475" s="5" t="inlineStr">
        <is>
          <t>Cut</t>
        </is>
      </c>
      <c r="G475" s="5" t="inlineStr">
        <is>
          <t>Alpha/Beta Hydrolase</t>
        </is>
      </c>
      <c r="H475" s="5" t="inlineStr">
        <is>
          <t>3.40.50.1820</t>
        </is>
      </c>
      <c r="I475" s="5" t="inlineStr">
        <is>
          <t>Eukaryotic</t>
        </is>
      </c>
      <c r="J475" s="5" t="inlineStr">
        <is>
          <t>Blastobotrys sp. G-9</t>
        </is>
      </c>
      <c r="K475" s="5" t="inlineStr">
        <is>
          <t>BaCut1-like</t>
        </is>
      </c>
      <c r="L475" s="5" t="inlineStr">
        <is>
          <t>PUR</t>
        </is>
      </c>
      <c r="M475" s="5" t="inlineStr">
        <is>
          <t>-</t>
        </is>
      </c>
      <c r="N475" s="5" t="inlineStr">
        <is>
          <t>Jiang, 2024</t>
        </is>
      </c>
      <c r="O475" s="5" t="inlineStr">
        <is>
          <t>-</t>
        </is>
      </c>
      <c r="P475" s="5" t="inlineStr">
        <is>
          <t>-</t>
        </is>
      </c>
      <c r="Q475" s="5" t="inlineStr">
        <is>
          <t>-</t>
        </is>
      </c>
      <c r="R475" s="5" t="inlineStr">
        <is>
          <t>-</t>
        </is>
      </c>
      <c r="S475" s="5" t="inlineStr">
        <is>
          <t>cutinase</t>
        </is>
      </c>
      <c r="T475" s="5" t="inlineStr">
        <is>
          <t>Blastobotrys sp. G-9</t>
        </is>
      </c>
      <c r="U475" s="5">
        <f>FALSE()</f>
        <v/>
      </c>
      <c r="V475" s="5">
        <f>TRUE()</f>
        <v/>
      </c>
      <c r="W475" s="5" t="inlineStr">
        <is>
          <t>MKANLILACASVVAGVSAAPLERRDGACSKYTIIDTRGTGELQGPSTGFLTMNRNILSEVPGGDQYHTVYPADWSQISTQGTLDIVNKVYSTLESDPNHCFVLEGYSQGAAATVNALPKLTGDSFDAVKAVFLIGNPMHKSGLECNVDTLGGKSTAYANGLSVVLGSIPDEWVSKTMDVCNFGDGVCDTLTGVGITLQHLDYPLDANVQNMGTEFVVKALTS</t>
        </is>
      </c>
      <c r="X475" s="5" t="n">
        <v>1</v>
      </c>
      <c r="Y475" s="5" t="inlineStr">
        <is>
          <t>BaCut1</t>
        </is>
      </c>
      <c r="Z475" s="5" t="inlineStr">
        <is>
          <t>XAQ58225</t>
        </is>
      </c>
      <c r="AA475" s="5" t="inlineStr">
        <is>
          <t>Direct</t>
        </is>
      </c>
      <c r="AB475" s="5" t="n">
        <v>233</v>
      </c>
      <c r="AC475" s="5" t="inlineStr">
        <is>
          <t>10.1016/j.jhazmat.2024.134493</t>
        </is>
      </c>
      <c r="AD475" s="5" t="inlineStr">
        <is>
          <t>MKANLILACASVVAGVSAAPLERRDGACSKYTIIDTRGTGELQGPSTGFLTMNRNILSEVPGGDQYHTVYPADWSQISTQGTLDIVNKVYSTLESDPNHCFVLEGYSQGAAATVNALPKLTGDSFDAVKAVFLIGNPMHKSGLECNVDTLGGKSTAYANGLSVVLGSIPDEWVSKTMDVCNFGDGVCDTLTGVGITLQHLDYPLDANVQNMGTEFVVKALTS</t>
        </is>
      </c>
      <c r="AE475" s="5" t="inlineStr">
        <is>
          <t>Blastobotrys sp. G-9</t>
        </is>
      </c>
      <c r="AF475" s="5" t="n">
        <v>3112566</v>
      </c>
      <c r="AG475" s="5" t="inlineStr">
        <is>
          <t>supp_unavailable</t>
        </is>
      </c>
      <c r="AH475" s="5" t="inlineStr">
        <is>
          <t>ncbi</t>
        </is>
      </c>
      <c r="AI475" s="5" t="n"/>
      <c r="AJ475" s="5" t="n"/>
      <c r="AK475" s="5" t="n"/>
      <c r="AL475" s="5" t="n">
        <v>1</v>
      </c>
    </row>
    <row r="476" ht="15" customHeight="1" s="12">
      <c r="A476" s="5" t="inlineStr">
        <is>
          <t>both</t>
        </is>
      </c>
      <c r="B476" s="5" t="inlineStr">
        <is>
          <t>MKFFALTTFLAATASALPTSNPAQELEARQLGRTTRDDLINGNSASCADVIFIYARGSTETGNLGTLGPSIASNLESAFGTDGVWIQGVGGAYRATLGDNALPRGTSSAAIREMLGLFQQANTKCPDATLIAGGYSQGAALAAASIEDLDSAIRDKIAGTVLFGYTKNLQNRGRIPNYPADRTKVFCNVGDLVCTGSLIVAAPHLAYGPDARGPAPEFLIEKVRAVRGSA</t>
        </is>
      </c>
      <c r="C476" s="5" t="n">
        <v>151</v>
      </c>
      <c r="D476" s="5" t="inlineStr">
        <is>
          <t>Q99174.1</t>
        </is>
      </c>
      <c r="E476" s="5" t="n">
        <v>2</v>
      </c>
      <c r="F476" s="5" t="inlineStr">
        <is>
          <t>Cut</t>
        </is>
      </c>
      <c r="G476" s="5" t="inlineStr">
        <is>
          <t>Alpha/Beta Hydrolase</t>
        </is>
      </c>
      <c r="H476" s="5" t="inlineStr">
        <is>
          <t>3.40.50.1820</t>
        </is>
      </c>
      <c r="I476" s="5" t="inlineStr">
        <is>
          <t>Eukarya</t>
        </is>
      </c>
      <c r="J476" s="5" t="inlineStr">
        <is>
          <t>Fusarium solani</t>
        </is>
      </c>
      <c r="K476" s="5" t="inlineStr">
        <is>
          <t>FSC</t>
        </is>
      </c>
      <c r="L476" s="5" t="inlineStr">
        <is>
          <t>PBS</t>
        </is>
      </c>
      <c r="M476" s="5" t="inlineStr">
        <is>
          <t>-</t>
        </is>
      </c>
      <c r="N476" s="5" t="inlineStr">
        <is>
          <t>Mao,2015; Hu, 2016</t>
        </is>
      </c>
      <c r="O476" s="5" t="inlineStr">
        <is>
          <t>Q99174</t>
        </is>
      </c>
      <c r="P476" s="5" t="inlineStr">
        <is>
          <t>Q99174</t>
        </is>
      </c>
      <c r="Q476" s="5" t="inlineStr">
        <is>
          <t>-</t>
        </is>
      </c>
      <c r="R476" s="5" t="inlineStr">
        <is>
          <t>-</t>
        </is>
      </c>
      <c r="S476" s="5" t="inlineStr">
        <is>
          <t>Cutin hydrolase</t>
        </is>
      </c>
      <c r="T476" s="5" t="inlineStr">
        <is>
          <t>Streptomyces scabiei</t>
        </is>
      </c>
      <c r="U476" s="5">
        <f>FALSE()</f>
        <v/>
      </c>
      <c r="V476" s="5">
        <f>TRUE()</f>
        <v/>
      </c>
      <c r="W476" s="5" t="inlineStr">
        <is>
          <t>MKFFALTTFLAATASALPTSNPAQELEARQLGRTTRDDLINGNSASCADVIFIYARGSTETGNLGTLGPSIASNLESAFGTDGVWIQGVGGAYRATLGDNALPRGTSSAAIREMLGLFQQANTKCPDATLIAGGYSQGAALAAASIEDLDSAIRDKIAGTVLFGYTKNLQNRGRIPNYPADRTKVFCNVGDLVCTGSLIVAAPHLAYGPDARGPAPEFLIEKVRAVRGSA</t>
        </is>
      </c>
      <c r="X476" s="5" t="n">
        <v>1</v>
      </c>
      <c r="Y476" s="5" t="inlineStr">
        <is>
          <t>FSC</t>
        </is>
      </c>
      <c r="Z476" s="5" t="inlineStr">
        <is>
          <t>Q99174</t>
        </is>
      </c>
      <c r="AA476" s="5" t="inlineStr">
        <is>
          <t>Direct</t>
        </is>
      </c>
      <c r="AB476" s="5" t="n">
        <v>199</v>
      </c>
      <c r="AC476" s="5" t="inlineStr">
        <is>
          <t>10.1016/j.polymdegradstab.2015.01.025; 10.1016/j.polymdegradstab.2016.10.012</t>
        </is>
      </c>
      <c r="AD476" s="5" t="inlineStr">
        <is>
          <t>MKFFALTTFLAATASALPTSNPAQELEARQLGRTTRDDLINGNSASCADVIFIYARGSTETGNLGTLGPSIASNLESAFGTDGVWIQGVGGAYRATLGDNALPRGTSSAAIREMLGLFQQANTKCPDATLIAGGYSQGAALAAASIEDLDSAIRDKIAGTVLFGYTKNLQNRGRIPNYPADRTKVFCNVGDLVCTGSLIVAAPHLAYGPDARGPAPEFLIEKVRAVRGSA</t>
        </is>
      </c>
      <c r="AE476" s="5" t="inlineStr">
        <is>
          <t>Fusarium solani</t>
        </is>
      </c>
      <c r="AF476" s="5" t="n">
        <v>169388</v>
      </c>
      <c r="AG476" s="5" t="inlineStr">
        <is>
          <t>acc_in_maintext</t>
        </is>
      </c>
      <c r="AH476" s="5" t="inlineStr">
        <is>
          <t>ncbi</t>
        </is>
      </c>
      <c r="AI476" s="5" t="n"/>
      <c r="AJ476" s="5" t="n"/>
      <c r="AK476" s="5" t="n"/>
      <c r="AL476" s="5" t="n">
        <v>1</v>
      </c>
    </row>
    <row r="477" ht="15" customHeight="1" s="12">
      <c r="A477" s="5" t="inlineStr">
        <is>
          <t>both</t>
        </is>
      </c>
      <c r="B477" s="5" t="inlineStr">
        <is>
          <t>MKFFALTTLLAATASALPTSNPAQELEARQLGRTTRDDLINGNSASCADVIFIYARGSTETGNLGTLGPSIASNLESAFGKDGVWIQGVGGAYAATLGDNALPRGTSSAAIREMLGLFQQANTKCPDATLIAGGYSQGAALAAASIEDLDSAIRDKIAGTVLFGYTKNLQNRGRIPNYPADRTKVFCNTGDLVCTGSLIVAAPHLAYGPDARGPAPEFLIEKVRAVRGSA</t>
        </is>
      </c>
      <c r="C477" s="5" t="n">
        <v>143</v>
      </c>
      <c r="D477" s="5" t="inlineStr">
        <is>
          <t>AAA33335.1</t>
        </is>
      </c>
      <c r="E477" s="5" t="n">
        <v>2</v>
      </c>
      <c r="F477" s="5" t="inlineStr">
        <is>
          <t>Cut</t>
        </is>
      </c>
      <c r="G477" s="5" t="inlineStr">
        <is>
          <t>Alpha/Beta Hydrolase</t>
        </is>
      </c>
      <c r="H477" s="5" t="inlineStr">
        <is>
          <t>3.40.50.1820</t>
        </is>
      </c>
      <c r="I477" s="5" t="inlineStr">
        <is>
          <t>Eukarya</t>
        </is>
      </c>
      <c r="J477" s="5" t="inlineStr">
        <is>
          <t>Fusarium solani</t>
        </is>
      </c>
      <c r="K477" s="5" t="inlineStr">
        <is>
          <t>FsC</t>
        </is>
      </c>
      <c r="L477" s="5" t="inlineStr">
        <is>
          <t>PET</t>
        </is>
      </c>
      <c r="M477" s="5" t="inlineStr">
        <is>
          <t>EC 3.1.1.74</t>
        </is>
      </c>
      <c r="N477" s="5" t="inlineStr">
        <is>
          <t>Silva, 2005</t>
        </is>
      </c>
      <c r="O477" s="5" t="inlineStr">
        <is>
          <t>AAA33335.1</t>
        </is>
      </c>
      <c r="P477" s="5" t="inlineStr">
        <is>
          <t>AAA33335.1</t>
        </is>
      </c>
      <c r="Q477" s="5" t="inlineStr">
        <is>
          <t>1AGY</t>
        </is>
      </c>
      <c r="R477" s="5" t="inlineStr">
        <is>
          <t>P00590</t>
        </is>
      </c>
      <c r="S477" s="5" t="inlineStr">
        <is>
          <t>cutinase</t>
        </is>
      </c>
      <c r="T477" s="5" t="inlineStr">
        <is>
          <t>Fusarium solani</t>
        </is>
      </c>
      <c r="U477" s="5">
        <f>FALSE()</f>
        <v/>
      </c>
      <c r="V477" s="5">
        <f>TRUE()</f>
        <v/>
      </c>
      <c r="W477" s="5" t="inlineStr">
        <is>
          <t>MKFFALTTLLAATASALPTSNPAQELEARQLGRTTRDDLINGNSASCADVIFIYARGSTETGNLGTLGPSIASNLESAFGKDGVWIQGVGGAYAATLGDNALPRGTSSAAIREMLGLFQQANTKCPDATLIAGGYSQGAALAAASIEDLDSAIRDKIAGTVLFGYTKNLQNRGRIPNYPADRTKVFCNTGDLVCTGSLIVAAPHLAYGPDARGPAPEFLIEKVRAVRGSA</t>
        </is>
      </c>
      <c r="X477" s="5" t="n">
        <v>1</v>
      </c>
      <c r="Y477" s="5" t="inlineStr">
        <is>
          <t>FsC</t>
        </is>
      </c>
      <c r="Z477" s="5" t="inlineStr">
        <is>
          <t>AAA33335.1</t>
        </is>
      </c>
      <c r="AA477" s="5" t="inlineStr">
        <is>
          <t>Direct</t>
        </is>
      </c>
      <c r="AB477" s="5" t="n">
        <v>43</v>
      </c>
      <c r="AC477" s="5" t="inlineStr">
        <is>
          <t>10.1002/pola.20684; 10.1016/j.procbio.2016.07.02310.1002/pola.20684</t>
        </is>
      </c>
      <c r="AD477" s="5" t="inlineStr">
        <is>
          <t>MKFFALTTLLAATASALPTSNPAQELEARQLGRTTRDDLINGNSASCADVIFIYARGSTETGNLGTLGPSIASNLESAFGKDGVWIQGVGGAYAATLGDNALPRGTSSAAIREMLGLFQQANTKCPDATLIAGGYSQGAALAAASIEDLDSAIRDKIAGTVLFGYTKNLQNRGRIPNYPADRTKVFCNTGDLVCTGSLIVAAPHLAYGPDARGPAPEFLIEKVRAVRGSA</t>
        </is>
      </c>
      <c r="AE477" s="5" t="inlineStr">
        <is>
          <t>Fusarium solani</t>
        </is>
      </c>
      <c r="AF477" s="5" t="n">
        <v>169388</v>
      </c>
      <c r="AG477" s="5" t="inlineStr">
        <is>
          <t>supp_unavailable</t>
        </is>
      </c>
      <c r="AH477" s="5" t="inlineStr">
        <is>
          <t>ncbi</t>
        </is>
      </c>
      <c r="AI477" s="5" t="n"/>
      <c r="AJ477" s="5" t="n"/>
      <c r="AK477" s="5" t="n"/>
      <c r="AL477" s="5" t="n">
        <v>1</v>
      </c>
    </row>
    <row r="478" ht="15" customHeight="1" s="12">
      <c r="A478" s="5" t="inlineStr">
        <is>
          <t>both</t>
        </is>
      </c>
      <c r="B478" s="5" t="inlineStr">
        <is>
          <t>MKFISIVALAATLTAGLPTARVVIRDAPVARDEALVLLEARQSSSSRSDLENGSSSACPQAILIFARGSTEAGNMGTTVGPILASALEDEYGDGIWIQGVGGAYTAGLAANLLPKGTDQASIDEAKRLFTLANSKCPNTPVVTGGYSQGTAVVGNALTELGSTVQNQVKGAVLFGYTKNQQNSGRIPNYPTDRTRVYCEAEDAVCFGTLIITPAHFLYDDDAAGDAPQFLISKISGN</t>
        </is>
      </c>
      <c r="C478" s="5" t="n">
        <v>149</v>
      </c>
      <c r="D478" s="5" t="inlineStr">
        <is>
          <t>KAH7127633.1</t>
        </is>
      </c>
      <c r="E478" s="5" t="n">
        <v>2</v>
      </c>
      <c r="F478" s="5" t="inlineStr">
        <is>
          <t>Cut</t>
        </is>
      </c>
      <c r="G478" s="5" t="inlineStr">
        <is>
          <t>Alpha/Beta Hydrolase</t>
        </is>
      </c>
      <c r="H478" s="5" t="inlineStr">
        <is>
          <t>3.40.50.1820</t>
        </is>
      </c>
      <c r="I478" s="5" t="inlineStr">
        <is>
          <t>Eukarya</t>
        </is>
      </c>
      <c r="J478" s="5" t="inlineStr">
        <is>
          <t>Dactylonectria macrodidyma</t>
        </is>
      </c>
      <c r="K478" s="5" t="inlineStr">
        <is>
          <t>DmC</t>
        </is>
      </c>
      <c r="L478" s="5" t="inlineStr">
        <is>
          <t>PET</t>
        </is>
      </c>
      <c r="M478" s="5" t="inlineStr">
        <is>
          <t>EC 3.1.1.74</t>
        </is>
      </c>
      <c r="N478" s="5" t="inlineStr">
        <is>
          <t>Brinch-Pedersen, 2024</t>
        </is>
      </c>
      <c r="O478" s="5" t="inlineStr">
        <is>
          <t>KAH7127633</t>
        </is>
      </c>
      <c r="P478" s="5" t="inlineStr">
        <is>
          <t>KAH7127633</t>
        </is>
      </c>
      <c r="Q478" s="5" t="inlineStr">
        <is>
          <t>-</t>
        </is>
      </c>
      <c r="R478" s="5" t="inlineStr">
        <is>
          <t>A0A9P9DYB3</t>
        </is>
      </c>
      <c r="S478" s="5" t="inlineStr">
        <is>
          <t>cutinase</t>
        </is>
      </c>
      <c r="T478" s="5" t="inlineStr">
        <is>
          <t>Dactylonectria macrodidyma</t>
        </is>
      </c>
      <c r="U478" s="5">
        <f>FALSE()</f>
        <v/>
      </c>
      <c r="V478" s="5">
        <f>TRUE()</f>
        <v/>
      </c>
      <c r="W478" s="5" t="inlineStr">
        <is>
          <t>MKFISIVALAATLTAGLPTARVVIRDAPVARDEALVLLEARQSSSSRSDLENGSSSACPQAILIFARGSTEAGNMGTTVGPILASALEDEYGDGIWIQGVGGAYTAGLAANLLPKGTDQASIDEAKRLFTLANSKCPNTPVVTGGYSQGTAVVGNALTELGSTVQNQVKGAVLFGYTKNQQNSGRIPNYPTDRTRVYCEAEDAVCFGTLIITPAHFLYDDDAAGDAPQFLISKISGN</t>
        </is>
      </c>
      <c r="X478" s="5" t="n">
        <v>1</v>
      </c>
      <c r="Y478" s="5" t="inlineStr">
        <is>
          <t>DmC</t>
        </is>
      </c>
      <c r="Z478" s="5" t="inlineStr">
        <is>
          <t>KAH7127633</t>
        </is>
      </c>
      <c r="AA478" s="5" t="inlineStr">
        <is>
          <t>Direct</t>
        </is>
      </c>
      <c r="AB478" s="5" t="n">
        <v>231</v>
      </c>
      <c r="AC478" s="5" t="inlineStr">
        <is>
          <t>10.1021/acssuschemeng.4c00060</t>
        </is>
      </c>
      <c r="AD478" s="5" t="inlineStr">
        <is>
          <t>MKFISIVALAATLTAGLPTARVVIRDAPVARDEALVLLEARQSSSSRSDLENGSSSACPQAILIFARGSTEAGNMGTTVGPILASALEDEYGDGIWIQGVGGAYTAGLAANLLPKGTDQASIDEAKRLFTLANSKCPNTPVVTGGYSQGTAVVGNALTELGSTVQNQVKGAVLFGYTKNQQNSGRIPNYPTDRTRVYCEAEDAVCFGTLIITPAHFLYDDDAAGDAPQFLISKISGN</t>
        </is>
      </c>
      <c r="AE478" s="5" t="inlineStr">
        <is>
          <t>Dactylonectria macrodidyma</t>
        </is>
      </c>
      <c r="AF478" s="5" t="n">
        <v>307937</v>
      </c>
      <c r="AG478" s="5" t="inlineStr">
        <is>
          <t>supp_unavailable</t>
        </is>
      </c>
      <c r="AH478" s="5" t="inlineStr">
        <is>
          <t>ncbi</t>
        </is>
      </c>
      <c r="AI478" s="5" t="n"/>
      <c r="AJ478" s="5" t="n"/>
      <c r="AK478" s="5" t="n"/>
      <c r="AL478" s="5" t="n">
        <v>1</v>
      </c>
    </row>
    <row r="479" ht="15" customHeight="1" s="12">
      <c r="A479" s="5" t="inlineStr">
        <is>
          <t>both</t>
        </is>
      </c>
      <c r="B479" s="5" t="inlineStr">
        <is>
          <t>MKFSIISTLLAATASALPAGQDAAALEARQLGGSITRNDLANGNSGSCPGVIFIYARGSTESGNLGTLGPRVASKLEAKYGKNGVWIQGVGGAYRATLGDNALPRGTSSAAIREMLGHFSDANQKCPDAVLIAGGYSQGAALAAASVTDVDAGIREKIAGVVLFGYTKNLQNRGKIPSYPEDRTKVFCNTGDLVCTGSLIVAAPHLAYQSAASGAAPEFLIQKADAAGAA</t>
        </is>
      </c>
      <c r="C479" s="5" t="n">
        <v>148</v>
      </c>
      <c r="D479" s="5" t="inlineStr">
        <is>
          <t>EXK81749.1</t>
        </is>
      </c>
      <c r="E479" s="5" t="n">
        <v>2</v>
      </c>
      <c r="F479" s="5" t="inlineStr">
        <is>
          <t>Cut</t>
        </is>
      </c>
      <c r="G479" s="5" t="inlineStr">
        <is>
          <t>Alpha/Beta Hydrolase</t>
        </is>
      </c>
      <c r="H479" s="5" t="inlineStr">
        <is>
          <t>3.40.50.1820</t>
        </is>
      </c>
      <c r="I479" s="5" t="inlineStr">
        <is>
          <t>Eukarya</t>
        </is>
      </c>
      <c r="J479" s="5" t="inlineStr">
        <is>
          <t>Fusarium oxysporum</t>
        </is>
      </c>
      <c r="K479" s="5" t="inlineStr">
        <is>
          <t>FoCut5a</t>
        </is>
      </c>
      <c r="L479" s="5" t="inlineStr">
        <is>
          <t>PET</t>
        </is>
      </c>
      <c r="M479" s="5" t="inlineStr">
        <is>
          <t>EC 3.1.1.74</t>
        </is>
      </c>
      <c r="N479" s="5" t="inlineStr">
        <is>
          <t>Dimarogona, 2015</t>
        </is>
      </c>
      <c r="O479" s="5" t="inlineStr">
        <is>
          <t>X0BTD8</t>
        </is>
      </c>
      <c r="P479" s="5" t="inlineStr">
        <is>
          <t>EXK81749</t>
        </is>
      </c>
      <c r="Q479" s="5" t="inlineStr">
        <is>
          <t>5AJH</t>
        </is>
      </c>
      <c r="R479" s="5" t="inlineStr">
        <is>
          <t>X0BTD8</t>
        </is>
      </c>
      <c r="S479" s="5" t="inlineStr">
        <is>
          <t>cutinase 3</t>
        </is>
      </c>
      <c r="T479" s="5" t="inlineStr">
        <is>
          <t>Fusarium oxysporum f. sp. raphani 54005</t>
        </is>
      </c>
      <c r="U479" s="5">
        <f>FALSE()</f>
        <v/>
      </c>
      <c r="V479" s="5">
        <f>TRUE()</f>
        <v/>
      </c>
      <c r="W479" s="5" t="inlineStr">
        <is>
          <t>MKFSIISTLLAATASALPAGQDAAALEARQLGGSITRNDLANGNSGSCPGVIFIYARGSTESGNLGTLGPRVASKLEAKYGKNGVWIQGVGGAYRATLGDNALPRGTSSAAIREMLGHFSDANQKCPDAVLIAGGYSQGAALAAASVTDVDAGIREKIAGVVLFGYTKNLQNRGKIPSYPEDRTKVFCNTGDLVCTGSLIVAAPHLAYQSAASGAAPEFLIQKADAAGAA</t>
        </is>
      </c>
      <c r="X479" s="5" t="n">
        <v>1</v>
      </c>
      <c r="Y479" s="5" t="inlineStr">
        <is>
          <t>FoCut5a</t>
        </is>
      </c>
      <c r="Z479" s="5" t="inlineStr">
        <is>
          <t>EXK81749</t>
        </is>
      </c>
      <c r="AA479" s="5" t="inlineStr">
        <is>
          <t>Direct</t>
        </is>
      </c>
      <c r="AB479" s="5" t="n">
        <v>182</v>
      </c>
      <c r="AC479" s="5" t="inlineStr">
        <is>
          <t>10.1016/j.bbagen.2015.08.009</t>
        </is>
      </c>
      <c r="AD479" s="5" t="inlineStr">
        <is>
          <t>MKFSIISTLLAATASALPAGQDAAALEARQLGGSITRNDLANGNSGSCPGVIFIYARGSTESGNLGTLGPRVASKLEAKYGKNGVWIQGVGGAYRATLGDNALPRGTSSAAIREMLGHFSDANQKCPDAVLIAGGYSQGAALAAASVTDVDAGIREKIAGVVLFGYTKNLQNRGKIPSYPEDRTKVFCNTGDLVCTGSLIVAAPHLAYQSAASGAAPEFLIQKADAAGAA</t>
        </is>
      </c>
      <c r="AE479" s="5" t="inlineStr">
        <is>
          <t>Fusarium oxysporum</t>
        </is>
      </c>
      <c r="AF479" s="5" t="n">
        <v>5507</v>
      </c>
      <c r="AG479" s="5" t="inlineStr">
        <is>
          <t>supp_unavailable</t>
        </is>
      </c>
      <c r="AH479" s="5" t="inlineStr">
        <is>
          <t>ncbi</t>
        </is>
      </c>
      <c r="AI479" s="5" t="n"/>
      <c r="AJ479" s="5" t="n"/>
      <c r="AK479" s="5" t="n"/>
      <c r="AL479" s="5" t="n">
        <v>1</v>
      </c>
    </row>
    <row r="480" ht="15" customHeight="1" s="12">
      <c r="A480" s="5" t="inlineStr">
        <is>
          <t>both</t>
        </is>
      </c>
      <c r="B480" s="5" t="inlineStr">
        <is>
          <t>MKFTTAVALLAGTAVALPTAVERRQSVGSTVNELVSGNCRPITFIFARGSTEIGNIGSSVGPPTCQGLKSTYGANNVACQGVGSPYDATLAANLLPEGTTSAAYGEAQRLFNLANTKCPNTKIVAGGYSQGAAVMVASVRRLSTAVKNKIAGVVLYGNTRNAQEGGKIPSFPPEKALTICNASDGVCGGGLVVTPGHLTYQVDVPKAVDYLESRIAAAGGI</t>
        </is>
      </c>
      <c r="C480" s="5" t="n">
        <v>154</v>
      </c>
      <c r="D480" s="5" t="inlineStr">
        <is>
          <t>WKA69984.1</t>
        </is>
      </c>
      <c r="E480" s="5" t="n">
        <v>2</v>
      </c>
      <c r="F480" s="5" t="inlineStr">
        <is>
          <t>Cut</t>
        </is>
      </c>
      <c r="G480" s="5" t="inlineStr">
        <is>
          <t>Alpha/Beta Hydrolase</t>
        </is>
      </c>
      <c r="H480" s="5" t="inlineStr">
        <is>
          <t>3.40.50.1820</t>
        </is>
      </c>
      <c r="I480" s="5" t="inlineStr">
        <is>
          <t>Eukaryotic</t>
        </is>
      </c>
      <c r="J480" s="5" t="inlineStr">
        <is>
          <t>Cladosporium sp. P7</t>
        </is>
      </c>
      <c r="K480" s="5" t="inlineStr">
        <is>
          <t>CpCut1-like</t>
        </is>
      </c>
      <c r="L480" s="5" t="inlineStr">
        <is>
          <t>PUR</t>
        </is>
      </c>
      <c r="M480" s="5" t="inlineStr">
        <is>
          <t>-</t>
        </is>
      </c>
      <c r="N480" s="5" t="inlineStr">
        <is>
          <t>Liu, 2024</t>
        </is>
      </c>
      <c r="O480" s="5" t="inlineStr">
        <is>
          <t>-</t>
        </is>
      </c>
      <c r="P480" s="5" t="inlineStr">
        <is>
          <t>-</t>
        </is>
      </c>
      <c r="Q480" s="5" t="inlineStr">
        <is>
          <t>-</t>
        </is>
      </c>
      <c r="R480" s="5" t="inlineStr">
        <is>
          <t>-</t>
        </is>
      </c>
      <c r="S480" s="5" t="inlineStr">
        <is>
          <t>cutinase</t>
        </is>
      </c>
      <c r="T480" s="5" t="inlineStr">
        <is>
          <t>Cladosporium sp.</t>
        </is>
      </c>
      <c r="U480" s="5">
        <f>FALSE()</f>
        <v/>
      </c>
      <c r="V480" s="5">
        <f>TRUE()</f>
        <v/>
      </c>
      <c r="W480" s="5" t="inlineStr">
        <is>
          <t>MKFTTAVALLAGTAVALPTAVERRQSVGSTVNELVSGNCRPITFIFARGSTEIGNIGSSVGPPTCQGLKSTYGANNVACQGVGSPYDATLAANLLPEGTTSAAYGEAQRLFNLANTKCPNTKIVAGGYSQGAAVMVASVRRLSTAVKNKIAGVVLYGNTRNAQEGGKIPSFPPEKALTICNASDGVCGGGLVVTPGHLTYQVDVPKAVDYLESRIAAAGGI</t>
        </is>
      </c>
      <c r="X480" s="5" t="n">
        <v>1</v>
      </c>
      <c r="Y480" s="5" t="inlineStr">
        <is>
          <t>CpCut1</t>
        </is>
      </c>
      <c r="Z480" s="5" t="inlineStr">
        <is>
          <t>WKA69984.1</t>
        </is>
      </c>
      <c r="AA480" s="5" t="inlineStr">
        <is>
          <t>Direct</t>
        </is>
      </c>
      <c r="AB480" s="5" t="n">
        <v>229</v>
      </c>
      <c r="AC480" s="5" t="inlineStr">
        <is>
          <t>10.1128/aem.01477-23</t>
        </is>
      </c>
      <c r="AD480" s="5" t="inlineStr">
        <is>
          <t>MKFTTAVALLAGTAVALPTAVERRQSVGSTVNELVSGNCRPITFIFARGSTEIGNIGSSVGPPTCQGLKSTYGANNVACQGVGSPYDATLAANLLPEGTTSAAYGEAQRLFNLANTKCPNTKIVAGGYSQGAAVMVASVRRLSTAVKNKIAGVVLYGNTRNAQEGGKIPSFPPEKALTICNASDGVCGGGLVVTPGHLTYQVDVPKAVDYLESRIAAAGGI</t>
        </is>
      </c>
      <c r="AE480" s="5" t="inlineStr">
        <is>
          <t>Cladosporium sp.</t>
        </is>
      </c>
      <c r="AF480" s="5" t="n">
        <v>1707700</v>
      </c>
      <c r="AG480" s="5" t="inlineStr">
        <is>
          <t>supp_unavailable</t>
        </is>
      </c>
      <c r="AH480" s="5" t="inlineStr">
        <is>
          <t>ncbi</t>
        </is>
      </c>
      <c r="AI480" s="5" t="n"/>
      <c r="AJ480" s="5" t="n"/>
      <c r="AK480" s="5" t="n"/>
      <c r="AL480" s="5" t="n">
        <v>1</v>
      </c>
    </row>
    <row r="481" ht="15" customHeight="1" s="12">
      <c r="A481" s="5" t="inlineStr">
        <is>
          <t>both</t>
        </is>
      </c>
      <c r="B481" s="5" t="inlineStr">
        <is>
          <t>MKIVAPKPFTFYRGPRAVLLLHGFTGNSADVRMLGRALEKHGYTCHAPIYRGHGKAPEELLKYTPDDWWEDVVQAYDDLKNMGHDEIAVAGLSLGGLFSLKLGYSKPVKGIVPMCAPMYFKNKDVLYQGVLQFAREFKEKEGKTKEQIEKEMSAFDSKELQQLLKENEQLVDEVKTNIDMIYAPIFIVQAKNDQMVNIDSAKIIYNEVESTEKSIKMYEESGHVITLDKEREQLHEDILQFLNSLDWKE</t>
        </is>
      </c>
      <c r="C481" s="5" t="n">
        <v>138</v>
      </c>
      <c r="D481" s="5" t="inlineStr">
        <is>
          <t>WP_108898647.1</t>
        </is>
      </c>
      <c r="E481" s="5" t="n">
        <v>39</v>
      </c>
      <c r="F481" s="5" t="inlineStr">
        <is>
          <t>Ipet</t>
        </is>
      </c>
      <c r="G481" s="5" t="inlineStr">
        <is>
          <t>Alpha/Beta Hydrolase</t>
        </is>
      </c>
      <c r="H481" s="5" t="inlineStr">
        <is>
          <t>3.40.50.1820</t>
        </is>
      </c>
      <c r="I481" s="5" t="inlineStr">
        <is>
          <t>Bacteria</t>
        </is>
      </c>
      <c r="J481" s="5" t="inlineStr">
        <is>
          <t>Caldibacillus thermoamylovorans</t>
        </is>
      </c>
      <c r="K481" s="5" t="inlineStr">
        <is>
          <t>Ces39_5</t>
        </is>
      </c>
      <c r="L481" s="5" t="inlineStr">
        <is>
          <t>PET</t>
        </is>
      </c>
      <c r="M481" s="5" t="inlineStr">
        <is>
          <t>EC 3.1.1.1</t>
        </is>
      </c>
      <c r="N481" s="5" t="inlineStr">
        <is>
          <t>Yan, 2024</t>
        </is>
      </c>
      <c r="O481" s="5" t="inlineStr">
        <is>
          <t>WP_108898647.1</t>
        </is>
      </c>
      <c r="P481" s="5" t="inlineStr">
        <is>
          <t>WP_108898647.1</t>
        </is>
      </c>
      <c r="Q481" s="5" t="inlineStr">
        <is>
          <t>-</t>
        </is>
      </c>
      <c r="R481" s="5" t="inlineStr">
        <is>
          <t>-</t>
        </is>
      </c>
      <c r="S481" s="5" t="inlineStr">
        <is>
          <t>carboxylesterase</t>
        </is>
      </c>
      <c r="T481" s="5" t="inlineStr">
        <is>
          <t>Bacillaceae</t>
        </is>
      </c>
      <c r="U481" s="5">
        <f>FALSE()</f>
        <v/>
      </c>
      <c r="V481" s="5">
        <f>TRUE()</f>
        <v/>
      </c>
      <c r="W481" s="5" t="inlineStr">
        <is>
          <t>MKIVAPKPFTFYRGPRAVLLLHGFTGNSADVRMLGRALEKHGYTCHAPIYRGHGKAPEELLKYTPDDWWEDVVQAYDDLKNMGHDEIAVAGLSLGGLFSLKLGYSKPVKGIVPMCAPMYFKNKDVLYQGVLQFAREFKEKEGKTKEQIEKEMSAFDSKELQQLLKENEQLVDEVKTNIDMIYAPIFIVQAKNDQMVNIDSAKIIYNEVESTEKSIKMYEESGHVITLDKEREQLHEDILQFLNSLDWKE</t>
        </is>
      </c>
      <c r="X481" s="5" t="n">
        <v>1</v>
      </c>
      <c r="Y481" s="5" t="inlineStr">
        <is>
          <t>Ces39_5</t>
        </is>
      </c>
      <c r="Z481" s="5" t="inlineStr">
        <is>
          <t>WP_108898647</t>
        </is>
      </c>
      <c r="AA481" s="5" t="inlineStr">
        <is>
          <t>Direct</t>
        </is>
      </c>
      <c r="AB481" s="5" t="n">
        <v>214</v>
      </c>
      <c r="AC481" s="5" t="inlineStr">
        <is>
          <t>10.1016/j.ijbiomac.2024.129538</t>
        </is>
      </c>
      <c r="AD481" s="5" t="inlineStr">
        <is>
          <t>MKIVAPKPFTFYRGPRAVLLLHGFTGNSADVRMLGRALEKHGYTCHAPIYRGHGKAPEELLKYTPDDWWEDVVQAYDDLKNMGHDEIAVAGLSLGGLFSLKLGYSKPVKGIVPMCAPMYFKNKDVLYQGVLQFAREFKEKEGKTKEQIEKEMSAFDSKELQQLLKENEQLVDEVKTNIDMIYAPIFIVQAKNDQMVNIDSAKIIYNEVESTEKSIKMYEESGHVITLDKEREQLHEDILQFLNSLDWKE</t>
        </is>
      </c>
      <c r="AE481" s="5" t="inlineStr">
        <is>
          <t>Caldibacillus thermoamylovorans</t>
        </is>
      </c>
      <c r="AF481" s="5" t="n">
        <v>35841</v>
      </c>
      <c r="AG481" s="5" t="inlineStr">
        <is>
          <t>supp_unavailable</t>
        </is>
      </c>
      <c r="AH481" s="5" t="inlineStr">
        <is>
          <t>ncbi</t>
        </is>
      </c>
      <c r="AI481" s="5" t="n"/>
      <c r="AJ481" s="5" t="n"/>
      <c r="AK481" s="5" t="n"/>
      <c r="AL481" s="5" t="n">
        <v>1</v>
      </c>
    </row>
    <row r="482" ht="15" customHeight="1" s="12">
      <c r="A482" s="5" t="inlineStr">
        <is>
          <t>both</t>
        </is>
      </c>
      <c r="B482" s="5" t="inlineStr">
        <is>
          <t>MKIVKTLLTVIFSVLMVVSMAHAVQIGPNPTSTLLNGDGPFAVSSSSVSSLACGTGCAGGTVYYPTTAGQYGVIAVCPGYTGTSSSIAWFARRLATHGFVTIAMDTNSTLDYPSSRATQLAAALRYLINSSSSTIRSRIRTADRGVAGHSMGGGGTLIASADDSTLRVGIPMTPWNTYTSFSSVRVPQMIFGADGDTIASASSHARPFYNSITQAEKAYALLNDASHFTPNSTDQRIGRYGVAFAKRFVDGDTRYNPFLCGAEHTAYATSSRFDTYLSNCPY</t>
        </is>
      </c>
      <c r="C482" s="5" t="n">
        <v>88</v>
      </c>
      <c r="D482" s="5" t="inlineStr">
        <is>
          <t>XDS72785.1</t>
        </is>
      </c>
      <c r="E482" s="5" t="n">
        <v>1</v>
      </c>
      <c r="F482" s="5" t="inlineStr">
        <is>
          <t>Ipet</t>
        </is>
      </c>
      <c r="G482" s="5" t="inlineStr">
        <is>
          <t>Alpha/Beta Hydrolase</t>
        </is>
      </c>
      <c r="H482" s="5" t="inlineStr">
        <is>
          <t>3.40.50.1820</t>
        </is>
      </c>
      <c r="I482" s="5" t="inlineStr">
        <is>
          <t>Bacteria</t>
        </is>
      </c>
      <c r="J482" s="5" t="inlineStr">
        <is>
          <t>Geothermal metagenome</t>
        </is>
      </c>
      <c r="K482" s="5" t="inlineStr">
        <is>
          <t>Sis</t>
        </is>
      </c>
      <c r="L482" s="5" t="inlineStr">
        <is>
          <t>PET</t>
        </is>
      </c>
      <c r="M482" s="5" t="inlineStr">
        <is>
          <t>-</t>
        </is>
      </c>
      <c r="N482" s="5" t="inlineStr">
        <is>
          <t>Ercolano, 2024</t>
        </is>
      </c>
      <c r="O482" s="5" t="inlineStr">
        <is>
          <t>XDS72785.1</t>
        </is>
      </c>
      <c r="P482" s="5" t="inlineStr">
        <is>
          <t>XDS72785.1</t>
        </is>
      </c>
      <c r="Q482" s="5" t="inlineStr">
        <is>
          <t>-</t>
        </is>
      </c>
      <c r="R482" s="5" t="inlineStr">
        <is>
          <t>-</t>
        </is>
      </c>
      <c r="S482" s="5" t="inlineStr">
        <is>
          <t>thermophilic PET hydrolase</t>
        </is>
      </c>
      <c r="T482" s="5" t="inlineStr">
        <is>
          <t>uncultured bacterium</t>
        </is>
      </c>
      <c r="U482" s="5">
        <f>FALSE()</f>
        <v/>
      </c>
      <c r="V482" s="5">
        <f>TRUE()</f>
        <v/>
      </c>
      <c r="W482" s="5" t="inlineStr">
        <is>
          <t>MKIVKTLLTVIFSVLMVVSMAHAVQIGPNPTSTLLNGDGPFAVSSSSVSSLACGTGCAGGTVYYPTTAGQYGVIAVCPGYTGTSSSIAWFARRLATHGFVTIAMDTNSTLDYPSSRATQLAAALRYLINSSSSTIRSRIRTADRGVAGHSMGGGGTLIASADDSTLRVGIPMTPWNTYTSFSSVRVPQMIFGADGDTIASASSHARPFYNSITQAEKAYALLNDASHFTPNSTDQRIGRYGVAFAKRFVDGDTRYNPFLCGAEHTAYATSSRFDTYLSNCPY</t>
        </is>
      </c>
      <c r="X482" s="5" t="n">
        <v>1</v>
      </c>
      <c r="Y482" s="5" t="inlineStr">
        <is>
          <t>Sis</t>
        </is>
      </c>
      <c r="Z482" s="5" t="inlineStr">
        <is>
          <t>XDS72785.1</t>
        </is>
      </c>
      <c r="AA482" s="5" t="inlineStr">
        <is>
          <t>Direct</t>
        </is>
      </c>
      <c r="AB482" s="5" t="n">
        <v>481</v>
      </c>
      <c r="AC482" s="5" t="inlineStr">
        <is>
          <t>10.3390/ijms25158120</t>
        </is>
      </c>
      <c r="AD482" s="5" t="inlineStr">
        <is>
          <t>MKIVKTLLTVIFSVLMVVSMAHAVQIGPNPTSTLLNGDGPFAVSSSSVSSLACGTGCAGGTVYYPTTAGQYGVIAVCPGYTGTSSSIAWFARRLATHGFVTIAMDTNSTLDYPSSRATQLAAALRYLINSSSSTIRSRIRTADRGVAGHSMGGGGTLIASADDSTLRVGIPMTPWNTYTSFSSVRVPQMIFGADGDTIASASSHARPFYNSITQAEKAYALLNDASHFTPNSTDQRIGRYGVAFAKRFVDGDTRYNPFLCGAEHTAYATSSRFDTYLSNCPY</t>
        </is>
      </c>
      <c r="AE482" s="5" t="inlineStr">
        <is>
          <t>uncultured bacterium</t>
        </is>
      </c>
      <c r="AF482" s="5" t="n"/>
      <c r="AG482" s="5" t="inlineStr">
        <is>
          <t>supp_unavailable</t>
        </is>
      </c>
      <c r="AH482" s="5" t="inlineStr">
        <is>
          <t>ncbi</t>
        </is>
      </c>
      <c r="AI482" s="5" t="n"/>
      <c r="AJ482" s="5" t="n"/>
      <c r="AK482" s="5" t="n"/>
      <c r="AL482" s="5" t="n">
        <v>1</v>
      </c>
    </row>
    <row r="483" ht="15" customHeight="1" s="12">
      <c r="A483" s="5" t="inlineStr">
        <is>
          <t>both</t>
        </is>
      </c>
      <c r="B483" s="5" t="inlineStr">
        <is>
          <t>MKKIYAVALFFLATSFAPNIIFAQCGDVTIESLTNPGPYEVATLTEADGLRNGPDYQGATVYYPTNATPPFASIAIVPGFTALPSSVEEWGPFYASHGIVTIIIGTNSLFDFPEERAVALIDALETMRQENTRSSSPLENQLDVDKFAVSGWSMGGGGAQRAAVLDNTIKGVVALCPWLPNASLNHDSPVLIFSGENDPTAPPAQHADLHYAATPNTTNKLLFEIENGNHSVANTPNGGNGAVGKIALSWLKLYVDENDCYCPLLTESLLVDPPAASKVLSSFECELLSVPDNSFAISVYPNPTHDFVNINSTNPVHFEVYSALGQRLLSGELTQSEKQIDFSNFAKGLYYVRLGNETVKIVRN</t>
        </is>
      </c>
      <c r="C483" s="5" t="n">
        <v>82</v>
      </c>
      <c r="D483" s="5" t="inlineStr">
        <is>
          <t>WP_111881932.1</t>
        </is>
      </c>
      <c r="E483" s="5" t="n">
        <v>1</v>
      </c>
      <c r="F483" s="5" t="inlineStr">
        <is>
          <t>Ipet</t>
        </is>
      </c>
      <c r="G483" s="5" t="inlineStr">
        <is>
          <t>Alpha/Beta Hydrolase</t>
        </is>
      </c>
      <c r="H483" s="5" t="inlineStr">
        <is>
          <t>3.40.50.1820</t>
        </is>
      </c>
      <c r="I483" s="5" t="inlineStr">
        <is>
          <t>Bacteria</t>
        </is>
      </c>
      <c r="J483" s="5" t="inlineStr">
        <is>
          <t>Aequorivita sp. CIP111184</t>
        </is>
      </c>
      <c r="K483" s="5" t="inlineStr">
        <is>
          <t>PET27</t>
        </is>
      </c>
      <c r="L483" s="5" t="inlineStr">
        <is>
          <t>PET</t>
        </is>
      </c>
      <c r="M483" s="5" t="inlineStr">
        <is>
          <t>EC 3.1.1.1</t>
        </is>
      </c>
      <c r="N483" s="5" t="inlineStr">
        <is>
          <t>Zhang, 2022</t>
        </is>
      </c>
      <c r="O483" s="5" t="inlineStr">
        <is>
          <t>WP_111881932</t>
        </is>
      </c>
      <c r="P483" s="5" t="inlineStr">
        <is>
          <t>WP_111881932</t>
        </is>
      </c>
      <c r="Q483" s="5" t="inlineStr">
        <is>
          <t>-</t>
        </is>
      </c>
      <c r="R483" s="5" t="inlineStr">
        <is>
          <t>-</t>
        </is>
      </c>
      <c r="S483" s="5" t="inlineStr">
        <is>
          <t>type A sorting domain-containing protein</t>
        </is>
      </c>
      <c r="T483" s="5" t="inlineStr">
        <is>
          <t>Aequorivita sp. CIP111184</t>
        </is>
      </c>
      <c r="U483" s="5">
        <f>FALSE()</f>
        <v/>
      </c>
      <c r="V483" s="5">
        <f>TRUE()</f>
        <v/>
      </c>
      <c r="W483" s="5" t="inlineStr">
        <is>
          <t>MKKIYAVALFFLATSFAPNIIFAQCGDVTIESLTNPGPYEVATLTEADGLRNGPDYQGATVYYPTNATPPFASIAIVPGFTALPSSVEEWGPFYASHGIVTIIIGTNSLFDFPEERAVALIDALETMRQENTRSSSPLENQLDVDKFAVSGWSMGGGGAQRAAVLDNTIKGVVALCPWLPNASLNHDSPVLIFSGENDPTAPPAQHADLHYAATPNTTNKLLFEIENGNHSVANTPNGGNGAVGKIALSWLKLYVDENDCYCPLLTESLLVDPPAASKVLSSFECELLSVPDNSFAISVYPNPTHDFVNINSTNPVHFEVYSALGQRLLSGELTQSEKQIDFSNFAKGLYYVRLGNETVKIVRN</t>
        </is>
      </c>
      <c r="X483" s="5" t="n">
        <v>1</v>
      </c>
      <c r="Y483" s="5" t="inlineStr">
        <is>
          <t>PET27</t>
        </is>
      </c>
      <c r="Z483" s="5" t="inlineStr">
        <is>
          <t>WP_111881932.1</t>
        </is>
      </c>
      <c r="AA483" s="5" t="inlineStr">
        <is>
          <t>Direct</t>
        </is>
      </c>
      <c r="AB483" s="5" t="n">
        <v>38</v>
      </c>
      <c r="AC483" s="5" t="inlineStr">
        <is>
          <t>10.3389/fmicb.2021.803896</t>
        </is>
      </c>
      <c r="AD483" s="5" t="inlineStr">
        <is>
          <t>MKKIYAVALFFLATSFAPNIIFAQCGDVTIESLTNPGPYEVATLTEADGLRNGPDYQGATVYYPTNATPPFASIAIVPGFTALPSSVEEWGPFYASHGIVTIIIGTNSLFDFPEERAVALIDALETMRQENTRSSSPLENQLDVDKFAVSGWSMGGGGAQRAAVLDNTIKGVVALCPWLPNASLNHDSPVLIFSGENDPTAPPAQHADLHYAATPNTTNKLLFEIENGNHSVANTPNGGNGAVGKIALSWLKLYVDENDCYCPLLTESLLVDPPAASKVLSSFECELLSVPDNSFAISVYPNPTHDFVNINSTNPVHFEVYSALGQRLLSGELTQSEKQIDFSNFAKGLYYVRLGNETVKIVRN</t>
        </is>
      </c>
      <c r="AE483" s="5" t="inlineStr">
        <is>
          <t>Aequorivita sp. CIP111184</t>
        </is>
      </c>
      <c r="AF483" s="5" t="n">
        <v>2211356</v>
      </c>
      <c r="AG483" s="5" t="inlineStr">
        <is>
          <t>supp_unavailable</t>
        </is>
      </c>
      <c r="AH483" s="5" t="inlineStr">
        <is>
          <t>ncbi</t>
        </is>
      </c>
      <c r="AI483" s="5" t="n"/>
      <c r="AJ483" s="5" t="n"/>
      <c r="AK483" s="5" t="n"/>
      <c r="AL483" s="5" t="n">
        <v>1</v>
      </c>
    </row>
    <row r="484" ht="15" customHeight="1" s="12">
      <c r="A484" s="5" t="inlineStr">
        <is>
          <t>both</t>
        </is>
      </c>
      <c r="B484" s="5" t="inlineStr">
        <is>
          <t>MKLKLSTILFTACATLAAALPSPEEVDSQAGKLYAPGQVVVKYKDNASASAVKSARAKANGTVMEKNNKLGFEVVKVKGSVEATIEKLKKDPNVEYAEPNYYLHATYTPNDPYFSSRQYGPQKIQAPQAWDIAEGSGVKIAIVDTGVQSNHPDLAGKVVGGWDFVDNDSTPQDGNGHGTHCAGIAAAVTNNSTGIAGTAPKASILAVRVLNNSGSGTWTAVANGITYAADQGAKVISLSLGGTVGNSGLQQAVDYAWSKGSVVVAAAGNAGNTAPNYPAYYSNAIAVASTDQNDNKSSFSTYGSWVDVAAPGSSIYSTYPTSTYASLSGTSMATPHVAGVAGLLASQGRSASNIRAAIENTADKISGTGTYWAKGRVNAYKAVQY</t>
        </is>
      </c>
      <c r="C484" s="5" t="n">
        <v>91</v>
      </c>
      <c r="D484" s="5" t="inlineStr">
        <is>
          <t>A0A291HVH1</t>
        </is>
      </c>
      <c r="E484" s="5" t="n">
        <v>21</v>
      </c>
      <c r="F484" s="5" t="inlineStr">
        <is>
          <t>Ipet</t>
        </is>
      </c>
      <c r="G484" s="5" t="inlineStr">
        <is>
          <t>Alpha/Beta Hydrolase</t>
        </is>
      </c>
      <c r="H484" s="5" t="inlineStr">
        <is>
          <t>3.40.50.1820</t>
        </is>
      </c>
      <c r="I484" s="5" t="inlineStr">
        <is>
          <t>Bacteria</t>
        </is>
      </c>
      <c r="J484" s="5" t="inlineStr">
        <is>
          <t>Laceyella sacchari</t>
        </is>
      </c>
      <c r="K484" s="5" t="inlineStr">
        <is>
          <t>LP175</t>
        </is>
      </c>
      <c r="L484" s="5" t="inlineStr">
        <is>
          <t>PLA</t>
        </is>
      </c>
      <c r="M484" s="5" t="inlineStr">
        <is>
          <t>-</t>
        </is>
      </c>
      <c r="N484" s="5" t="inlineStr">
        <is>
          <t>Hanphakphoom, 2014</t>
        </is>
      </c>
      <c r="O484" s="5" t="inlineStr">
        <is>
          <t>A0A291HVH1</t>
        </is>
      </c>
      <c r="P484" s="5" t="inlineStr">
        <is>
          <t>-</t>
        </is>
      </c>
      <c r="Q484" s="5" t="inlineStr">
        <is>
          <t>-</t>
        </is>
      </c>
      <c r="R484" s="5" t="inlineStr">
        <is>
          <t>A0A291HVH1</t>
        </is>
      </c>
      <c r="S484" s="5" t="inlineStr">
        <is>
          <t>Poly(L-lactide)-degrading enzyme</t>
        </is>
      </c>
      <c r="T484" s="5" t="inlineStr">
        <is>
          <t>Laceyella sacchari</t>
        </is>
      </c>
      <c r="U484" s="5">
        <f>FALSE()</f>
        <v/>
      </c>
      <c r="V484" s="5">
        <f>TRUE()</f>
        <v/>
      </c>
      <c r="W484" s="5" t="inlineStr">
        <is>
          <t>MKLKLSTILFTACATLAAALPSPEEVDSQAGKLYAPGQVVVKYKDNASASAVKSARAKANGTVMEKNNKLGFEVVKVKGSVEATIEKLKKDPNVEYAEPNYYLHATYTPNDPYFSSRQYGPQKIQAPQAWDIAEGSGVKIAIVDTGVQSNHPDLAGKVVGGWDFVDNDSTPQDGNGHGTHCAGIAAAVTNNSTGIAGTAPKASILAVRVLNNSGSGTWTAVANGITYAADQGAKVISLSLGGTVGNSGLQQAVDYAWSKGSVVVAAAGNAGNTAPNYPAYYSNAIAVASTDQNDNKSSFSTYGSWVDVAAPGSSIYSTYPTSTYASLSGTSMATPHVAGVAGLLASQGRSASNIRAAIENTADKISGTGTYWAKGRVNAYKAVQY</t>
        </is>
      </c>
      <c r="X484" s="5" t="n">
        <v>1</v>
      </c>
      <c r="Y484" s="5" t="inlineStr">
        <is>
          <t>LP175</t>
        </is>
      </c>
      <c r="Z484" s="5" t="inlineStr">
        <is>
          <t>ATG80622.1</t>
        </is>
      </c>
      <c r="AA484" s="5" t="inlineStr">
        <is>
          <t>Direct</t>
        </is>
      </c>
      <c r="AB484" s="5" t="n">
        <v>81</v>
      </c>
      <c r="AC484" s="5" t="inlineStr">
        <is>
          <t>10.2323/jgam.60.13</t>
        </is>
      </c>
      <c r="AD484" s="5" t="inlineStr">
        <is>
          <t>MKLKLSTILFTACATLAAALPSPEEVDSQAGKLYAPGQVVVKYKDNASASAVKSARAKANGTVMEKNNKLGFEVVKVKGSVEATIEKLKKDPNVEYAEPNYYLHATYTPNDPYFSSRQYGPQKIQAPQAWDIAEGSGVKIAIVDTGVQSNHPDLAGKVVGGWDFVDNDSTPQDGNGHGTHCAGIAAAVTNNSTGIAGTAPKASILAVRVLNNSGSGTWTAVANGITYAADQGAKVISLSLGGTVGNSGLQQAVDYAWSKGSVVVAAAGNAGNTAPNYPAYYSNAIAVASTDQNDNKSSFSTYGSWVDVAAPGSSIYSTYPTSTYASLSGTSMATPHVAGVAGLLASQGRSASNIRAAIENTADKISGTGTYWAKGRVNAYKAVQY</t>
        </is>
      </c>
      <c r="AE484" s="5" t="inlineStr">
        <is>
          <t>Laceyella sacchari</t>
        </is>
      </c>
      <c r="AF484" s="5" t="n">
        <v>37482</v>
      </c>
      <c r="AG484" s="5" t="inlineStr">
        <is>
          <t>supp_unavailable</t>
        </is>
      </c>
      <c r="AH484" s="5" t="inlineStr">
        <is>
          <t>ncbi</t>
        </is>
      </c>
      <c r="AI484" s="5" t="n"/>
      <c r="AJ484" s="5" t="n"/>
      <c r="AK484" s="5" t="n"/>
      <c r="AL484" s="5" t="n">
        <v>1</v>
      </c>
    </row>
    <row r="485" ht="15" customHeight="1" s="12">
      <c r="A485" s="5" t="inlineStr">
        <is>
          <t>both</t>
        </is>
      </c>
      <c r="B485" s="5" t="inlineStr">
        <is>
          <t>MRLSVLLSLLPLALGAPAVEQRSEAAPLIEARGEMVANKYIVKFKEGSALSALDAAMEKISGKPDHVYKNVFSGFAATLDENMVRVLRAHPDVEYIEQDAVVTINAAQTNAPWGLARISSTSPGTSTYYYDESAGQGSCVYVIDTGIEASHPEFEGRAQMVKTYYYSSRDGNGHGTHCAGTVGSRTYGVAKKTQLFGVKVLDDNGSGQYSTIIAGMDFVASDKNNRNCPKGVVASLSLGGGYSSSVNSAAARLQSSGVMVAVAAGNNNADARNYSPASEPSVCTVGASDRYDRRSSFSNYGSVLDIFGPGTSILSTWIGGSTRSISGTSMATPHVAGLAAYLMTLGKTTAASACRYIADTANKGDLSNIPFGTVNLLAYNNYQA</t>
        </is>
      </c>
      <c r="C485" s="5" t="n">
        <v>93</v>
      </c>
      <c r="D485" s="5" t="inlineStr">
        <is>
          <t>P06873.2</t>
        </is>
      </c>
      <c r="E485" s="5" t="n">
        <v>21</v>
      </c>
      <c r="F485" s="5" t="inlineStr">
        <is>
          <t>Ipet</t>
        </is>
      </c>
      <c r="G485" s="5" t="inlineStr">
        <is>
          <t>Alpha/Beta Hydrolase</t>
        </is>
      </c>
      <c r="H485" s="5" t="inlineStr">
        <is>
          <t>3.40.50.1820</t>
        </is>
      </c>
      <c r="I485" s="5" t="inlineStr">
        <is>
          <t>Eukaryota</t>
        </is>
      </c>
      <c r="J485" s="5" t="inlineStr">
        <is>
          <t>Parengyodontium album</t>
        </is>
      </c>
      <c r="K485" s="5" t="inlineStr">
        <is>
          <t>Proteinase K</t>
        </is>
      </c>
      <c r="L485" s="5" t="inlineStr">
        <is>
          <t>PLA</t>
        </is>
      </c>
      <c r="M485" s="5" t="inlineStr">
        <is>
          <t>EC 3.4.21.64</t>
        </is>
      </c>
      <c r="N485" s="5" t="n"/>
      <c r="O485" s="5" t="inlineStr">
        <is>
          <t>P06873</t>
        </is>
      </c>
      <c r="P485" s="5" t="inlineStr">
        <is>
          <t>P06873.2</t>
        </is>
      </c>
      <c r="Q485" s="5" t="inlineStr">
        <is>
          <t>5KXVA</t>
        </is>
      </c>
      <c r="R485" s="5" t="inlineStr">
        <is>
          <t>P06873</t>
        </is>
      </c>
      <c r="S485" s="5" t="inlineStr">
        <is>
          <t>Tritirachium alkaline proteinase</t>
        </is>
      </c>
      <c r="T485" s="5" t="inlineStr">
        <is>
          <t>-</t>
        </is>
      </c>
      <c r="U485" s="5">
        <f>FALSE()</f>
        <v/>
      </c>
      <c r="V485" s="5">
        <f>TRUE()</f>
        <v/>
      </c>
      <c r="W485" s="5" t="inlineStr">
        <is>
          <t>MRLSVLLSLLPLALGAPAVEQRSEAAPLIEARGEMVANKYIVKFKEGSALSALDAAMEKISGKPDHVYKNVFSGFAATLDENMVRVLRAHPDVEYIEQDAVVTINAAQTNAPWGLARISSTSPGTSTYYYDESAGQGSCVYVIDTGIEASHPEFEGRAQMVKTYYYSSRDGNGHGTHCAGTVGSRTYGVAKKTQLFGVKVLDDNGSGQYSTIIAGMDFVASDKNNRNCPKGVVASLSLGGGYSSSVNSAAARLQSSGVMVAVAAGNNNADARNYSPASEPSVCTVGASDRYDRRSSFSNYGSVLDIFGPGTSILSTWIGGSTRSISGTSMATPHVAGLAAYLMTLGKTTAASACRYIADTANKGDLSNIPFGTVNLLAYNNYQA</t>
        </is>
      </c>
      <c r="X485" s="5" t="n">
        <v>1</v>
      </c>
      <c r="Y485" s="5" t="inlineStr">
        <is>
          <t>Proteinase K</t>
        </is>
      </c>
      <c r="Z485" s="5" t="inlineStr">
        <is>
          <t>CAA32820.1</t>
        </is>
      </c>
      <c r="AA485" s="5" t="inlineStr">
        <is>
          <t>Direct</t>
        </is>
      </c>
      <c r="AB485" s="5" t="n">
        <v>93</v>
      </c>
      <c r="AC485" s="5" t="inlineStr">
        <is>
          <t>10.1021/bm049395v</t>
        </is>
      </c>
      <c r="AD485" s="5" t="inlineStr">
        <is>
          <t>MRLSVLLSLLPLALGAPAVEQRSEAAPLIEARGEMVANKYIVKFKEGSALSALDAAMEKISGKPDHVYKNVFSGFAATLDENMVRVLRAHPDVEYIEQDAVVTINAAQTNAPWGLARISSTSPGTSTYYYDESAGQGSCVYVIDTGIEASHPEFEGRAQMVKTYYYSSRDGNGHGTHCAGTVGSRTYGVAKKTQLFGVKVLDDNGSGQYSTIIAGMDFVASDKNNRNCPKGVVASLSLGGGYSSSVNSAAARLQSSGVMVAVAAGNNNADARNYSPASEPSVCTVGASDRYDRRSSFSNYGSVLDIFGPGTSILSTWIGGSTRSISGTSMATPHVAGLAAYLMTLGKTTAASACRYIADTANKGDLSNIPFGTVNLLAYNNYQA</t>
        </is>
      </c>
      <c r="AE485" s="5" t="inlineStr">
        <is>
          <t>Parengyodontium album</t>
        </is>
      </c>
      <c r="AF485" s="5" t="n">
        <v>37998</v>
      </c>
      <c r="AG485" s="5" t="inlineStr">
        <is>
          <t>supp_unavailable</t>
        </is>
      </c>
      <c r="AH485" s="5" t="inlineStr">
        <is>
          <t>ncbi</t>
        </is>
      </c>
      <c r="AI485" s="5" t="n"/>
      <c r="AJ485" s="5" t="n"/>
      <c r="AK485" s="5" t="n"/>
      <c r="AL485" s="5" t="n">
        <v>1</v>
      </c>
    </row>
    <row r="486" ht="15" customHeight="1" s="12">
      <c r="A486" s="5" t="inlineStr">
        <is>
          <t>both</t>
        </is>
      </c>
      <c r="B486" s="5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C486" s="5" t="n">
        <v>170</v>
      </c>
      <c r="D486" s="5" t="inlineStr">
        <is>
          <t>P41365</t>
        </is>
      </c>
      <c r="E486" s="5" t="n">
        <v>7</v>
      </c>
      <c r="F486" s="5" t="inlineStr">
        <is>
          <t>Mors</t>
        </is>
      </c>
      <c r="G486" s="5" t="inlineStr">
        <is>
          <t>Alpha/Beta Hydrolase</t>
        </is>
      </c>
      <c r="H486" s="5" t="inlineStr">
        <is>
          <t>3.40.50.1820</t>
        </is>
      </c>
      <c r="I486" s="5" t="inlineStr">
        <is>
          <t>Eukarya</t>
        </is>
      </c>
      <c r="J486" s="5" t="inlineStr">
        <is>
          <t>Pseudozyma antarctica</t>
        </is>
      </c>
      <c r="K486" s="5" t="inlineStr">
        <is>
          <t>lipase B; CalB</t>
        </is>
      </c>
      <c r="L486" s="5" t="inlineStr">
        <is>
          <t>PET; PUR</t>
        </is>
      </c>
      <c r="M486" s="5" t="inlineStr">
        <is>
          <t>EC 3.1.1.3</t>
        </is>
      </c>
      <c r="N486" s="5" t="inlineStr">
        <is>
          <t>Ronkvist, 2009, Carniel, 2017; Brackmann, 2023</t>
        </is>
      </c>
      <c r="O486" s="5" t="inlineStr">
        <is>
          <t>LIPB_PSEA2</t>
        </is>
      </c>
      <c r="P486" s="5" t="inlineStr">
        <is>
          <t>LIPB_PSEA2</t>
        </is>
      </c>
      <c r="Q486" s="5" t="inlineStr">
        <is>
          <t>1TCA</t>
        </is>
      </c>
      <c r="R486" s="5" t="inlineStr">
        <is>
          <t>LIPB_PSEA2</t>
        </is>
      </c>
      <c r="S486" s="5" t="inlineStr">
        <is>
          <t>Lipase B</t>
        </is>
      </c>
      <c r="T486" s="5" t="inlineStr">
        <is>
          <t>Pseudozyma antarctica</t>
        </is>
      </c>
      <c r="U486" s="5">
        <f>FALSE()</f>
        <v/>
      </c>
      <c r="V486" s="5">
        <f>TRUE()</f>
        <v/>
      </c>
      <c r="W486" s="5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X486" s="5" t="n">
        <v>1</v>
      </c>
      <c r="Y486" s="5" t="inlineStr">
        <is>
          <t>CalB</t>
        </is>
      </c>
      <c r="Z486" s="5" t="inlineStr">
        <is>
          <t>CAA83122.1</t>
        </is>
      </c>
      <c r="AA486" s="5" t="inlineStr">
        <is>
          <t>Direct</t>
        </is>
      </c>
      <c r="AB486" s="5" t="n">
        <v>42</v>
      </c>
      <c r="AC486" s="5" t="inlineStr">
        <is>
          <t>10.1016/j.procbio.2016.07.023; 10.1002/cssc.202100243</t>
        </is>
      </c>
      <c r="AD486" s="5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AE486" s="5" t="inlineStr">
        <is>
          <t>Moesziomyces antarcticus</t>
        </is>
      </c>
      <c r="AF486" s="5" t="n">
        <v>84753</v>
      </c>
      <c r="AG486" s="5" t="inlineStr">
        <is>
          <t>supp_unavailable</t>
        </is>
      </c>
      <c r="AH486" s="5" t="inlineStr">
        <is>
          <t>ncbi</t>
        </is>
      </c>
      <c r="AI486" s="5" t="n"/>
      <c r="AJ486" s="5" t="n"/>
      <c r="AK486" s="5" t="n"/>
      <c r="AL486" s="5" t="n">
        <v>1</v>
      </c>
    </row>
    <row r="487" ht="15" customHeight="1" s="12">
      <c r="A487" s="5" t="inlineStr">
        <is>
          <t>both</t>
        </is>
      </c>
      <c r="B487" s="5" t="inlineStr">
        <is>
          <t>MKNAPIRSVLATCLVAAAASALAQTTAPTSASLNASAGPLSVSTASVTAPRGFGGGTIYYPTTQARYGVIAISPGFTATQISIAWLGRRIATHGFVVITLNTLTTLDQPDSRANQLMAALNHVINSSSSAVKARIDTSRLAVAGHSMGGGGALIAARDNPTLKASYPLTPWNINSAFTTVRVPTMIVGADGDTIAPVGTHARPFYAALPGATSKAYGELNGATHFSPNSTNTPIGRYGVAWMKRFLDGDTRYSTFLCGTEHTRYATALVFDRYNQNCPY</t>
        </is>
      </c>
      <c r="C487" s="5" t="n">
        <v>69</v>
      </c>
      <c r="D487" s="5" t="inlineStr">
        <is>
          <t>WP_058088494.1</t>
        </is>
      </c>
      <c r="E487" s="5" t="n">
        <v>1</v>
      </c>
      <c r="F487" s="5" t="inlineStr">
        <is>
          <t>Ipet</t>
        </is>
      </c>
      <c r="G487" s="5" t="inlineStr">
        <is>
          <t>Alpha/Beta Hydrolase</t>
        </is>
      </c>
      <c r="H487" s="5" t="inlineStr">
        <is>
          <t>3.40.50.1820</t>
        </is>
      </c>
      <c r="I487" s="5" t="inlineStr">
        <is>
          <t>Bacteria</t>
        </is>
      </c>
      <c r="J487" s="5" t="inlineStr">
        <is>
          <t>Acidovorax delafieldii</t>
        </is>
      </c>
      <c r="K487" s="5" t="inlineStr">
        <is>
          <t>AdCut</t>
        </is>
      </c>
      <c r="L487" s="5" t="inlineStr">
        <is>
          <t>PET</t>
        </is>
      </c>
      <c r="M487" s="5" t="inlineStr">
        <is>
          <t>-</t>
        </is>
      </c>
      <c r="N487" s="5" t="inlineStr">
        <is>
          <t>Ho, 2023</t>
        </is>
      </c>
      <c r="O487" s="5" t="inlineStr">
        <is>
          <t>WP_058088494.1</t>
        </is>
      </c>
      <c r="P487" s="5" t="inlineStr">
        <is>
          <t>WP_058088494.1</t>
        </is>
      </c>
      <c r="Q487" s="5" t="inlineStr">
        <is>
          <t>-</t>
        </is>
      </c>
      <c r="R487" s="5" t="inlineStr">
        <is>
          <t>-</t>
        </is>
      </c>
      <c r="S487" s="5" t="inlineStr">
        <is>
          <t>lipase</t>
        </is>
      </c>
      <c r="T487" s="5" t="inlineStr">
        <is>
          <t>Aquabacterium parvum</t>
        </is>
      </c>
      <c r="U487" s="5">
        <f>FALSE()</f>
        <v/>
      </c>
      <c r="V487" s="5">
        <f>TRUE()</f>
        <v/>
      </c>
      <c r="W487" s="5" t="inlineStr">
        <is>
          <t>MKNAPIRSVLATCLVAAAASALAQTTAPTSASLNASAGPLSVSTASVTAPRGFGGGTIYYPTTQARYGVIAISPGFTATQISIAWLGRRIATHGFVVITLNTLTTLDQPDSRANQLMAALNHVINSSSSAVKARIDTSRLAVAGHSMGGGGALIAARDNPTLKASYPLTPWNINSAFTTVRVPTMIVGADGDTIAPVGTHARPFYAALPGATSKAYGELNGATHFSPNSTNTPIGRYGVAWMKRFLDGDTRYSTFLCGTEHTRYATALVFDRYNQNCPY</t>
        </is>
      </c>
      <c r="X487" s="5" t="n">
        <v>1</v>
      </c>
      <c r="Y487" s="5" t="inlineStr">
        <is>
          <t>ApLip-Ec</t>
        </is>
      </c>
      <c r="Z487" s="5" t="n"/>
      <c r="AA487" s="5" t="inlineStr">
        <is>
          <t>Direct</t>
        </is>
      </c>
      <c r="AB487" s="5" t="n">
        <v>194</v>
      </c>
      <c r="AC487" s="5" t="inlineStr">
        <is>
          <t>10.1016/j.bej.2023.108985</t>
        </is>
      </c>
      <c r="AD487" s="5" t="inlineStr">
        <is>
          <t>MKNAPIRSVLATCLVAAAASALAQTTAPTSASLNASAGPLSVSTASVTAPRGFGGGTIYYPTTQARYGVIAISPGFTATQISIAWLGRRIATHGFVVITLNTLTTLDQPDSRANQLMAALNHVINSSSSAVKARIDTSRLAVAGHSMGGGGALIAARDNPTLKASYPLTPWNINSAFTTVRVPTMIVGADGDTIAPVGTHARPFYAALPGATSKAYGELNGATHFSPNSTNTPIGRYGVAWMKRFLDGDTRYSTFLCGTEHTRYATALVFDRYNQNCPY</t>
        </is>
      </c>
      <c r="AE487" s="5" t="n"/>
      <c r="AF487" s="5" t="n"/>
      <c r="AG487" s="5" t="n"/>
      <c r="AH487" s="5" t="n"/>
      <c r="AI487" s="5" t="n"/>
      <c r="AJ487" s="5" t="n"/>
      <c r="AK487" s="5" t="n"/>
      <c r="AL487" s="5" t="n">
        <v>1</v>
      </c>
    </row>
    <row r="488" ht="15" customHeight="1" s="12">
      <c r="A488" s="5" t="inlineStr">
        <is>
          <t>both</t>
        </is>
      </c>
      <c r="B488" s="5" t="inlineStr">
        <is>
          <t>MKNTLIPKSLSTLFAASALMLSATVMAANPAPPQDPVEPGGFARGPDPSVSFLEADRGPYSVNTSRVSGLVSGFGGGTIHYPSGTTGTMAAIVVIPGYVSAESSIEWWGPKLASHGFVVMTIDTNTSFDQPPSRARQINSALDYLIDQNTATRSAVRGMIDTNRLGVVGWSMGGGGTLRVATEGRISAAIPLAPWDTSSLQFRNVQAPTLIFACESDIIAPVGSHASPFYNRLPGDLNKAFVEIDGGNHYCANGAASFGRYDSVLSRMGVSWMKLHLDQDERYKQFLCGPNHTADNRISEYRGNCPY</t>
        </is>
      </c>
      <c r="C488" s="5" t="n">
        <v>19</v>
      </c>
      <c r="D488" s="5" t="inlineStr">
        <is>
          <t>ANP21910.1</t>
        </is>
      </c>
      <c r="E488" s="5" t="n">
        <v>1</v>
      </c>
      <c r="F488" s="5" t="inlineStr">
        <is>
          <t>Ipet</t>
        </is>
      </c>
      <c r="G488" s="5" t="inlineStr">
        <is>
          <t>Alpha/Beta Hydrolase</t>
        </is>
      </c>
      <c r="H488" s="5" t="inlineStr">
        <is>
          <t>3.40.50.1820</t>
        </is>
      </c>
      <c r="I488" s="5" t="inlineStr">
        <is>
          <t>Bacteria</t>
        </is>
      </c>
      <c r="J488" s="5" t="inlineStr">
        <is>
          <t>Pseudomonas oleovorans DSM 50188</t>
        </is>
      </c>
      <c r="K488" s="5" t="inlineStr">
        <is>
          <t>PpCutA; PoCut</t>
        </is>
      </c>
      <c r="L488" s="5" t="inlineStr">
        <is>
          <t>PET</t>
        </is>
      </c>
      <c r="M488" s="5" t="inlineStr">
        <is>
          <t>EC 3.1.1.74</t>
        </is>
      </c>
      <c r="N488" s="5" t="inlineStr">
        <is>
          <t>Haernvall, 2017</t>
        </is>
      </c>
      <c r="O488" s="5" t="inlineStr">
        <is>
          <t>KU695573</t>
        </is>
      </c>
      <c r="P488" s="5" t="inlineStr">
        <is>
          <t>ANP21910.1</t>
        </is>
      </c>
      <c r="Q488" s="5" t="inlineStr">
        <is>
          <t>-</t>
        </is>
      </c>
      <c r="R488" s="5" t="inlineStr">
        <is>
          <t>A0A1B0Z6Y3</t>
        </is>
      </c>
      <c r="S488" s="5" t="inlineStr">
        <is>
          <t>lipase</t>
        </is>
      </c>
      <c r="T488" s="5" t="inlineStr">
        <is>
          <t>Halopseudomonas pelagia</t>
        </is>
      </c>
      <c r="U488" s="5">
        <f>FALSE()</f>
        <v/>
      </c>
      <c r="V488" s="5">
        <f>TRUE()</f>
        <v/>
      </c>
      <c r="W488" s="5" t="inlineStr">
        <is>
          <t>MKNTLIPKSLSTLFAASALMLSATVMAANPAPPQDPVEPGGFARGPDPSVSFLEADRGPYSVNTSRVSGLVSGFGGGTIHYPSGTTGTMAAIVVIPGYVSAESSIEWWGPKLASHGFVVMTIDTNTSFDQPPSRARQINSALDYLIDQNTATRSAVRGMIDTNRLGVVGWSMGGGGTLRVATEGRISAAIPLAPWDTSSLQFRNVQAPTLIFACESDIIAPVGSHASPFYNRLPGDLNKAFVEIDGGNHYCANGAASFGRYDSVLSRMGVSWMKLHLDQDERYKQFLCGPNHTADNRISEYRGNCPY</t>
        </is>
      </c>
      <c r="X488" s="5" t="n">
        <v>1</v>
      </c>
      <c r="Y488" s="5" t="inlineStr">
        <is>
          <t>PpelaLip</t>
        </is>
      </c>
      <c r="Z488" s="5" t="inlineStr">
        <is>
          <t>WP_022964382.1</t>
        </is>
      </c>
      <c r="AA488" s="5" t="inlineStr">
        <is>
          <t>Direct</t>
        </is>
      </c>
      <c r="AB488" s="5" t="n">
        <v>8</v>
      </c>
      <c r="AC488" s="5" t="inlineStr">
        <is>
          <t>10.1021/acs.est.7b00062</t>
        </is>
      </c>
      <c r="AD488" s="5" t="inlineStr">
        <is>
          <t>MKNTLIPKSLSTLFAASALMLSATVMAANPAPPQDPVEPGGFARGPDPSVSFLEADRGPYSVNTSRVSGLVSGFGGGTIHYPSGTTGTMAAIVVIPGYVSAESSIEWWGPKLASHGFVVMTIDTNTSFDQPPSRARQINSALDYLIDQNTATRSAVRGMIDTNRLGVVGWSMGGGGTLRVATEGRISAAIPLAPWDTSSLQFRNVQAPTLIFACESDIIAPVGSHASPFYNRLPGDLNKAFVEIDGGNHYCANGAASFGRYDSVLSRMGVSWMKLHLDQDERYKQFLCGPNHTADNRISEYRGNCPY</t>
        </is>
      </c>
      <c r="AE488" s="5" t="inlineStr">
        <is>
          <t>Halopseudomonas pelagia</t>
        </is>
      </c>
      <c r="AF488" s="5" t="n">
        <v>553151</v>
      </c>
      <c r="AG488" s="5" t="inlineStr">
        <is>
          <t>supp_unavailable</t>
        </is>
      </c>
      <c r="AH488" s="5" t="inlineStr">
        <is>
          <t>ncbi</t>
        </is>
      </c>
      <c r="AI488" s="5" t="n"/>
      <c r="AJ488" s="5" t="n"/>
      <c r="AK488" s="5" t="n"/>
      <c r="AL488" s="5" t="n">
        <v>1</v>
      </c>
    </row>
    <row r="489" ht="15" customHeight="1" s="12">
      <c r="A489" s="5" t="inlineStr">
        <is>
          <t>both</t>
        </is>
      </c>
      <c r="B489" s="5" t="inlineStr">
        <is>
          <t>MKRRLIAYSIAALAISATAVALPTGVASAAPCSDVDVSFARGTGELPGLGITGTPFVNSVKSQLSDRSVSTYAVNYAADFTQASAGPGSRDLVAHLNSVAASCPSTKFVIGGYSQGATVVTNAVGLRTPSSFTGAVIPAAIADRIEAVVVFGNPFGLTGRKIETASSTYGSRTNSFCNFGDPVCQIGGFNTFAHLTYGTNGSTTQGASFAAAQVRS</t>
        </is>
      </c>
      <c r="C489" s="5" t="inlineStr">
        <is>
          <t>146;153</t>
        </is>
      </c>
      <c r="D489" s="5" t="inlineStr">
        <is>
          <t>BCL64964.1;UNZ22463.1</t>
        </is>
      </c>
      <c r="E489" s="5" t="n">
        <v>2</v>
      </c>
      <c r="F489" s="5" t="inlineStr">
        <is>
          <t>Cut</t>
        </is>
      </c>
      <c r="G489" s="5" t="inlineStr">
        <is>
          <t>Alpha/Beta Hydrolase</t>
        </is>
      </c>
      <c r="H489" s="5" t="inlineStr">
        <is>
          <t>3.40.50.1820</t>
        </is>
      </c>
      <c r="I489" s="5" t="inlineStr">
        <is>
          <t>Bacteria</t>
        </is>
      </c>
      <c r="J489" s="5" t="inlineStr">
        <is>
          <t>Rhodococcus fascians NKCM2511;Rhodococcus sp.</t>
        </is>
      </c>
      <c r="K489" s="5" t="inlineStr">
        <is>
          <t>PBATHRF; pbath;Rcut; PBATh; OL660765</t>
        </is>
      </c>
      <c r="L489" s="5" t="inlineStr">
        <is>
          <t>PBAT;PET</t>
        </is>
      </c>
      <c r="M489" s="5" t="inlineStr">
        <is>
          <t>-</t>
        </is>
      </c>
      <c r="N489" s="5" t="inlineStr">
        <is>
          <t>Soulenthone, 2021;Won, 2022</t>
        </is>
      </c>
      <c r="O489" s="5" t="inlineStr">
        <is>
          <t>A0A7I8E2Z4;UNZ22463.1</t>
        </is>
      </c>
      <c r="P489" s="5" t="inlineStr">
        <is>
          <t>BCL64964.1;UNZ22463.1</t>
        </is>
      </c>
      <c r="Q489" s="5" t="inlineStr">
        <is>
          <t>-</t>
        </is>
      </c>
      <c r="R489" s="5" t="inlineStr">
        <is>
          <t>A0A7I8E2Z4;-</t>
        </is>
      </c>
      <c r="S489" s="5" t="inlineStr">
        <is>
          <t>PBAT hydrolase;cutinase</t>
        </is>
      </c>
      <c r="T489" s="5" t="inlineStr">
        <is>
          <t>Rhodococcus sp. (in: high G+C Gram-positive bacteria);Rhodococcus sp.</t>
        </is>
      </c>
      <c r="U489" s="5">
        <f>FALSE()</f>
        <v/>
      </c>
      <c r="V489" s="5">
        <f>TRUE()</f>
        <v/>
      </c>
      <c r="W489" s="5" t="inlineStr">
        <is>
          <t>MKRRLIAYSIAALAISATAVALPTGVASAAPCSDVDVSFARGTGELPGLGITGTPFVNSVKSQLSDRSVSTYAVNYAADFTQASAGPGSRDLVAHLNSVAASCPSTKFVIGGYSQGATVVTNAVGLRTPSSFTGAVIPAAIADRIEAVVVFGNPFGLTGRKIETASSTYGSRTNSFCNFGDPVCQIGGFNTFAHLTYGTNGSTTQGASFAAAQVRS</t>
        </is>
      </c>
      <c r="X489" s="5" t="n">
        <v>2</v>
      </c>
      <c r="Y489" s="5" t="inlineStr">
        <is>
          <t>PBATHRF;RCut</t>
        </is>
      </c>
      <c r="Z489" s="5" t="inlineStr">
        <is>
          <t>BCL64964.1;UNZ22463.1</t>
        </is>
      </c>
      <c r="AA489" s="5" t="inlineStr">
        <is>
          <t>Direct</t>
        </is>
      </c>
      <c r="AB489" s="5" t="inlineStr">
        <is>
          <t>116;170</t>
        </is>
      </c>
      <c r="AC489" s="5" t="inlineStr">
        <is>
          <t>10.1016/j.polymdegradstab.2021.109481;10.1016/j.pep.2022.106077</t>
        </is>
      </c>
      <c r="AD489" s="5" t="inlineStr">
        <is>
          <t>MKRRLIAYSIAALAISATAVALPTGVASAAPCSDVDVSFARGTGELPGLGITGTPFVNSVKSQLSDRSVSTYAVNYAADFTQASAGPGSRDLVAHLNSVAASCPSTKFVIGGYSQGATVVTNAVGLRTPSSFTGAVIPAAIADRIEAVVVFGNPFGLTGRKIETASSTYGSRTNSFCNFGDPVCQIGGFNTFAHLTYGTNGSTTQGASFAAAQVRS</t>
        </is>
      </c>
      <c r="AE489" s="5" t="inlineStr">
        <is>
          <t>Rhodococcoides fascians;Rhodococcus sp. (in: high G+C Gram-positive bacteria)</t>
        </is>
      </c>
      <c r="AF489" s="5" t="inlineStr">
        <is>
          <t>1828;1831</t>
        </is>
      </c>
      <c r="AG489" s="5" t="inlineStr">
        <is>
          <t>supp_unavailable</t>
        </is>
      </c>
      <c r="AH489" s="5" t="inlineStr">
        <is>
          <t>ncbi</t>
        </is>
      </c>
      <c r="AI489" s="5" t="n"/>
      <c r="AJ489" s="5" t="n"/>
      <c r="AK489" s="5" t="n"/>
      <c r="AL489" s="5" t="n">
        <v>2</v>
      </c>
    </row>
    <row r="490" ht="15" customHeight="1" s="12">
      <c r="A490" s="5" t="inlineStr">
        <is>
          <t>both</t>
        </is>
      </c>
      <c r="B490" s="5" t="inlineStr">
        <is>
          <t>MKRTLKRALSLLPAAALAASALVAASPAQA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C490" s="5" t="n">
        <v>5</v>
      </c>
      <c r="D490" s="5" t="inlineStr">
        <is>
          <t>ACY95991.1</t>
        </is>
      </c>
      <c r="E490" s="5" t="n">
        <v>1</v>
      </c>
      <c r="F490" s="5" t="inlineStr">
        <is>
          <t>Ipet</t>
        </is>
      </c>
      <c r="G490" s="5" t="inlineStr">
        <is>
          <t>Alpha/Beta Hydrolase</t>
        </is>
      </c>
      <c r="H490" s="5" t="inlineStr">
        <is>
          <t>3.40.50.1820</t>
        </is>
      </c>
      <c r="I490" s="5" t="inlineStr">
        <is>
          <t>Bacteria</t>
        </is>
      </c>
      <c r="J490" s="5" t="inlineStr">
        <is>
          <t>Thermobifida curvata DSM43183</t>
        </is>
      </c>
      <c r="K490" s="5" t="inlineStr">
        <is>
          <t>Tcur0390</t>
        </is>
      </c>
      <c r="L490" s="5" t="inlineStr">
        <is>
          <t>PET; PUR</t>
        </is>
      </c>
      <c r="M490" s="5" t="inlineStr">
        <is>
          <t>EC 3.1.1.74</t>
        </is>
      </c>
      <c r="N490" s="5" t="inlineStr">
        <is>
          <t>Wei, 2014, Schmidt, 2017</t>
        </is>
      </c>
      <c r="O490" s="5" t="inlineStr">
        <is>
          <t>ACY95991.1</t>
        </is>
      </c>
      <c r="P490" s="5" t="inlineStr">
        <is>
          <t>ACY95991.1</t>
        </is>
      </c>
      <c r="Q490" s="5" t="inlineStr">
        <is>
          <t>-</t>
        </is>
      </c>
      <c r="R490" s="5" t="inlineStr">
        <is>
          <t>D1A2H1</t>
        </is>
      </c>
      <c r="S490" s="5" t="inlineStr">
        <is>
          <t>Triacylglycerol lipase</t>
        </is>
      </c>
      <c r="T490" s="5" t="inlineStr">
        <is>
          <t>Thermomonospora curvata DSM 43183</t>
        </is>
      </c>
      <c r="U490" s="5">
        <f>FALSE()</f>
        <v/>
      </c>
      <c r="V490" s="5">
        <f>TRUE()</f>
        <v/>
      </c>
      <c r="W490" s="5" t="inlineStr">
        <is>
          <t>MKRTLKRALSLLPAAALAASALVAASPAQA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X490" s="5" t="n">
        <v>1</v>
      </c>
      <c r="Y490" s="5" t="inlineStr">
        <is>
          <t>Tcur0390</t>
        </is>
      </c>
      <c r="Z490" s="5" t="inlineStr">
        <is>
          <t>WP_012850775.1</t>
        </is>
      </c>
      <c r="AA490" s="5" t="inlineStr">
        <is>
          <t>Direct</t>
        </is>
      </c>
      <c r="AB490" s="5" t="n">
        <v>31</v>
      </c>
      <c r="AC490" s="5" t="inlineStr">
        <is>
          <t>10.1186/s13568-014-0044-9</t>
        </is>
      </c>
      <c r="AD490" s="5" t="inlineStr">
        <is>
          <t>MKRTLKRALSLLPAAALAASALVAASPAQA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AE490" s="5" t="inlineStr">
        <is>
          <t>Thermomonospora curvata</t>
        </is>
      </c>
      <c r="AF490" s="5" t="n">
        <v>2020</v>
      </c>
      <c r="AG490" s="5" t="inlineStr">
        <is>
          <t>supp_unavailable</t>
        </is>
      </c>
      <c r="AH490" s="5" t="inlineStr">
        <is>
          <t>ncbi</t>
        </is>
      </c>
      <c r="AI490" s="5" t="n"/>
      <c r="AJ490" s="5" t="n"/>
      <c r="AK490" s="5" t="n"/>
      <c r="AL490" s="5" t="n">
        <v>1</v>
      </c>
    </row>
    <row r="491" ht="15" customHeight="1" s="12">
      <c r="A491" s="5" t="inlineStr">
        <is>
          <t>both</t>
        </is>
      </c>
      <c r="B491" s="5" t="inlineStr">
        <is>
          <t>MKTLQKLFITAVFLFSVFAVSLSIQPEQQVRAETSGNDYPIVLVHGLGGWGKGEFLGYRYWGGLKDIEFYLNQTGHRTYVATVGPVSSNWDRAVELYYYIKGGTVDYGAAHAKEHGHARFGRTYPGIYGQWDETNKIHLIGHSMGGQTSRMLVELLKSGSQKEQEYYSQHPEEGISPLFTGGKNWVHSVTSLATPHNGSTFADQEQIVSFIKDFIIHLASAAGQKQESLIYDFKLDQWGLKRQPGESFHAYMNRVMTSPIWQSNDISAYDLTTLGAQELNQWMKTYPDVYYLSYTGNASYRGVVTGNYYPIGTMHPLFTLISMQMGSYTRQSPAPVIDRSWLPNDGIVNVVSAKYPFGHPNSPYDGAIKQGVWNSFPVMEGWDHMDFINFIGSNTPGYFSIYGYYNDVANRVHSLPK</t>
        </is>
      </c>
      <c r="C491" s="5" t="n">
        <v>118</v>
      </c>
      <c r="D491" s="5" t="inlineStr">
        <is>
          <t>WP_108898452.1</t>
        </is>
      </c>
      <c r="E491" s="5" t="n">
        <v>25</v>
      </c>
      <c r="F491" s="5" t="inlineStr">
        <is>
          <t>Ipet</t>
        </is>
      </c>
      <c r="G491" s="5" t="inlineStr">
        <is>
          <t>Alpha/Beta Hydrolase</t>
        </is>
      </c>
      <c r="H491" s="5" t="inlineStr">
        <is>
          <t>3.40.50.1820</t>
        </is>
      </c>
      <c r="I491" s="5" t="inlineStr">
        <is>
          <t>Bacteria</t>
        </is>
      </c>
      <c r="J491" s="5" t="inlineStr">
        <is>
          <t>Caldibacillus thermoamylovorans</t>
        </is>
      </c>
      <c r="K491" s="5" t="inlineStr">
        <is>
          <t>Lip4_120</t>
        </is>
      </c>
      <c r="L491" s="5" t="inlineStr">
        <is>
          <t>PET</t>
        </is>
      </c>
      <c r="M491" s="5" t="inlineStr">
        <is>
          <t>EC:3.1.1.3</t>
        </is>
      </c>
      <c r="N491" s="5" t="inlineStr">
        <is>
          <t>Yan, 2024</t>
        </is>
      </c>
      <c r="O491" s="5" t="inlineStr">
        <is>
          <t>WP_108898452.1</t>
        </is>
      </c>
      <c r="P491" s="5" t="inlineStr">
        <is>
          <t>WP_108898452.1</t>
        </is>
      </c>
      <c r="Q491" s="5" t="inlineStr">
        <is>
          <t>-</t>
        </is>
      </c>
      <c r="R491" s="5" t="inlineStr">
        <is>
          <t>-</t>
        </is>
      </c>
      <c r="S491" s="5" t="inlineStr">
        <is>
          <t>triacylglycerol lipase</t>
        </is>
      </c>
      <c r="T491" s="5" t="inlineStr">
        <is>
          <t>Caldibacillus thermoamylovorans</t>
        </is>
      </c>
      <c r="U491" s="5">
        <f>FALSE()</f>
        <v/>
      </c>
      <c r="V491" s="5">
        <f>TRUE()</f>
        <v/>
      </c>
      <c r="W491" s="5" t="inlineStr">
        <is>
          <t>MKTLQKLFITAVFLFSVFAVSLSIQPEQQVRAETSGNDYPIVLVHGLGGWGKGEFLGYRYWGGLKDIEFYLNQTGHRTYVATVGPVSSNWDRAVELYYYIKGGTVDYGAAHAKEHGHARFGRTYPGIYGQWDETNKIHLIGHSMGGQTSRMLVELLKSGSQKEQEYYSQHPEEGISPLFTGGKNWVHSVTSLATPHNGSTFADQEQIVSFIKDFIIHLASAAGQKQESLIYDFKLDQWGLKRQPGESFHAYMNRVMTSPIWQSNDISAYDLTTLGAQELNQWMKTYPDVYYLSYTGNASYRGVVTGNYYPIGTMHPLFTLISMQMGSYTRQSPAPVIDRSWLPNDGIVNVVSAKYPFGHPNSPYDGAIKQGVWNSFPVMEGWDHMDFINFIGSNTPGYFSIYGYYNDVANRVHSLPK</t>
        </is>
      </c>
      <c r="X491" s="5" t="n">
        <v>1</v>
      </c>
      <c r="Y491" s="5" t="inlineStr">
        <is>
          <t>Lip4_120</t>
        </is>
      </c>
      <c r="Z491" s="5" t="inlineStr">
        <is>
          <t>WP_108898452</t>
        </is>
      </c>
      <c r="AA491" s="5" t="inlineStr">
        <is>
          <t>Direct</t>
        </is>
      </c>
      <c r="AB491" s="5" t="n">
        <v>209</v>
      </c>
      <c r="AC491" s="5" t="inlineStr">
        <is>
          <t>10.1016/j.ijbiomac.2024.129538</t>
        </is>
      </c>
      <c r="AD491" s="5" t="inlineStr">
        <is>
          <t>MKTLQKLFITAVFLFSVFAVSLSIQPEQQVRAETSGNDYPIVLVHGLGGWGKGEFLGYRYWGGLKDIEFYLNQTGHRTYVATVGPVSSNWDRAVELYYYIKGGTVDYGAAHAKEHGHARFGRTYPGIYGQWDETNKIHLIGHSMGGQTSRMLVELLKSGSQKEQEYYSQHPEEGISPLFTGGKNWVHSVTSLATPHNGSTFADQEQIVSFIKDFIIHLASAAGQKQESLIYDFKLDQWGLKRQPGESFHAYMNRVMTSPIWQSNDISAYDLTTLGAQELNQWMKTYPDVYYLSYTGNASYRGVVTGNYYPIGTMHPLFTLISMQMGSYTRQSPAPVIDRSWLPNDGIVNVVSAKYPFGHPNSPYDGAIKQGVWNSFPVMEGWDHMDFINFIGSNTPGYFSIYGYYNDVANRVHSLPK</t>
        </is>
      </c>
      <c r="AE491" s="5" t="inlineStr">
        <is>
          <t>Caldibacillus thermoamylovorans</t>
        </is>
      </c>
      <c r="AF491" s="5" t="n">
        <v>35841</v>
      </c>
      <c r="AG491" s="5" t="inlineStr">
        <is>
          <t>supp_unavailable</t>
        </is>
      </c>
      <c r="AH491" s="5" t="inlineStr">
        <is>
          <t>ncbi</t>
        </is>
      </c>
      <c r="AI491" s="5" t="n"/>
      <c r="AJ491" s="5" t="n"/>
      <c r="AK491" s="5" t="n"/>
      <c r="AL491" s="5" t="n">
        <v>1</v>
      </c>
    </row>
    <row r="492" ht="15" customHeight="1" s="12">
      <c r="A492" s="5" t="inlineStr">
        <is>
          <t>both</t>
        </is>
      </c>
      <c r="B492" s="5" t="inlineStr">
        <is>
          <t>MKVILFKKRSLQILVALALVIGSMAFIQPKEVKAAEHNPVVMVHGIGGASYNFASIKSYLVGQGWDRNQLYAIDFIDKTGNNRNNGPRLSKFVQDVLDKTGAKKVDIVAHSMGGANTLYYIKNLDGGDKIENVVTIGGANGLVSSRALPGTDPNQKILYTSVYSSADLIVVNSLSRLIGAKNVLIHGVGHIGLLTSSQVKGYIKEGLNGGGQNTN</t>
        </is>
      </c>
      <c r="C492" s="5" t="n">
        <v>121</v>
      </c>
      <c r="D492" s="5" t="inlineStr">
        <is>
          <t>BAV72205.1</t>
        </is>
      </c>
      <c r="E492" s="5" t="n">
        <v>26</v>
      </c>
      <c r="F492" s="5" t="inlineStr">
        <is>
          <t>Ipet</t>
        </is>
      </c>
      <c r="G492" s="5" t="inlineStr">
        <is>
          <t>Alpha/Beta Hydrolase</t>
        </is>
      </c>
      <c r="H492" s="5" t="inlineStr">
        <is>
          <t>3.40.50.1820</t>
        </is>
      </c>
      <c r="I492" s="5" t="inlineStr">
        <is>
          <t>Bacteria</t>
        </is>
      </c>
      <c r="J492" s="5" t="inlineStr">
        <is>
          <t>Bacillus pumilus</t>
        </is>
      </c>
      <c r="K492" s="5" t="inlineStr">
        <is>
          <t>PBATHBp</t>
        </is>
      </c>
      <c r="L492" s="5" t="inlineStr">
        <is>
          <t>PBAT</t>
        </is>
      </c>
      <c r="M492" s="5" t="inlineStr">
        <is>
          <t>-</t>
        </is>
      </c>
      <c r="N492" s="5" t="inlineStr">
        <is>
          <t>Muroi, 2017</t>
        </is>
      </c>
      <c r="O492" s="5" t="inlineStr">
        <is>
          <t>A0A1E1FNX8</t>
        </is>
      </c>
      <c r="P492" s="5" t="inlineStr">
        <is>
          <t>BAV72205.1</t>
        </is>
      </c>
      <c r="Q492" s="5" t="inlineStr">
        <is>
          <t>-</t>
        </is>
      </c>
      <c r="R492" s="5" t="inlineStr">
        <is>
          <t>A0A1E1FNX8</t>
        </is>
      </c>
      <c r="S492" s="5" t="inlineStr">
        <is>
          <t>PBAT hydrolase</t>
        </is>
      </c>
      <c r="T492" s="5" t="inlineStr">
        <is>
          <t>Bacillus pumilus</t>
        </is>
      </c>
      <c r="U492" s="5">
        <f>FALSE()</f>
        <v/>
      </c>
      <c r="V492" s="5">
        <f>TRUE()</f>
        <v/>
      </c>
      <c r="W492" s="5" t="inlineStr">
        <is>
          <t>MKVILFKKRSLQILVALALVIGSMAFIQPKEVKAAEHNPVVMVHGIGGASYNFASIKSYLVGQGWDRNQLYAIDFIDKTGNNRNNGPRLSKFVQDVLDKTGAKKVDIVAHSMGGANTLYYIKNLDGGDKIENVVTIGGANGLVSSRALPGTDPNQKILYTSVYSSADLIVVNSLSRLIGAKNVLIHGVGHIGLLTSSQVKGYIKEGLNGGGQNTN</t>
        </is>
      </c>
      <c r="X492" s="5" t="n">
        <v>1</v>
      </c>
      <c r="Y492" s="5" t="inlineStr">
        <is>
          <t>PBATHBp</t>
        </is>
      </c>
      <c r="Z492" s="5" t="inlineStr">
        <is>
          <t>BAV72205.1</t>
        </is>
      </c>
      <c r="AA492" s="5" t="inlineStr">
        <is>
          <t>Direct</t>
        </is>
      </c>
      <c r="AB492" s="5" t="n">
        <v>122</v>
      </c>
      <c r="AC492" s="5" t="inlineStr">
        <is>
          <t>10.1016/j.polymdegradstab.2017.01.006</t>
        </is>
      </c>
      <c r="AD492" s="5" t="inlineStr">
        <is>
          <t>MKVILFKKRSLQILVALALVIGSMAFIQPKEVKAAEHNPVVMVHGIGGASYNFASIKSYLVGQGWDRNQLYAIDFIDKTGNNRNNGPRLSKFVQDVLDKTGAKKVDIVAHSMGGANTLYYIKNLDGGDKIENVVTIGGANGLVSSRALPGTDPNQKILYTSVYSSADLIVVNSLSRLIGAKNVLIHGVGHIGLLTSSQVKGYIKEGLNGGGQNTN</t>
        </is>
      </c>
      <c r="AE492" s="5" t="inlineStr">
        <is>
          <t>Bacillus pumilus</t>
        </is>
      </c>
      <c r="AF492" s="5" t="n">
        <v>1408</v>
      </c>
      <c r="AG492" s="5" t="inlineStr">
        <is>
          <t>supp_unavailable</t>
        </is>
      </c>
      <c r="AH492" s="5" t="inlineStr">
        <is>
          <t>ncbi</t>
        </is>
      </c>
      <c r="AI492" s="5" t="n"/>
      <c r="AJ492" s="5" t="n"/>
      <c r="AK492" s="5" t="n"/>
      <c r="AL492" s="5" t="n">
        <v>1</v>
      </c>
    </row>
    <row r="493" ht="15" customHeight="1" s="12">
      <c r="A493" s="5" t="inlineStr">
        <is>
          <t>both</t>
        </is>
      </c>
      <c r="B493" s="5" t="inlineStr">
        <is>
          <t>MKVMFVKKRSLQILIALALVIGSMAFIQPKEVKAAEHNPVVMVHGIGGASYNFFSIKSYLATQGWDRNQLYAIDFIDKTGNNRNNGPRLSRFVKDVLDKTGAKKVDIVAHSMGGANTLYYIKNLDGGDKIENVVTIGGANGLVSSRALPGTDPNQKILYTSVYSSADLIVVNSLSRLIGARNVLIHGVGHIGLLTSSQVKGYIKEGLNGGGQNTN</t>
        </is>
      </c>
      <c r="C493" s="5" t="n">
        <v>119</v>
      </c>
      <c r="D493" s="5" t="inlineStr">
        <is>
          <t>APJ12152.1</t>
        </is>
      </c>
      <c r="E493" s="5" t="n">
        <v>26</v>
      </c>
      <c r="F493" s="5" t="inlineStr">
        <is>
          <t>Ipet</t>
        </is>
      </c>
      <c r="G493" s="5" t="inlineStr">
        <is>
          <t>Alpha/Beta Hydrolase</t>
        </is>
      </c>
      <c r="H493" s="5" t="inlineStr">
        <is>
          <t>3.40.50.1820</t>
        </is>
      </c>
      <c r="I493" s="5" t="inlineStr">
        <is>
          <t>Bacteria</t>
        </is>
      </c>
      <c r="J493" s="5" t="inlineStr">
        <is>
          <t>Bacillus safensis</t>
        </is>
      </c>
      <c r="K493" s="5" t="inlineStr">
        <is>
          <t>LipMRD9</t>
        </is>
      </c>
      <c r="L493" s="5" t="inlineStr">
        <is>
          <t>PET</t>
        </is>
      </c>
      <c r="M493" s="5" t="inlineStr">
        <is>
          <t>EC 3.1.1.3</t>
        </is>
      </c>
      <c r="N493" s="5" t="inlineStr">
        <is>
          <t>Vidal, 2024</t>
        </is>
      </c>
      <c r="O493" s="5" t="inlineStr">
        <is>
          <t>APJ12152.1</t>
        </is>
      </c>
      <c r="P493" s="5" t="inlineStr">
        <is>
          <t>APJ12152.1</t>
        </is>
      </c>
      <c r="Q493" s="5" t="inlineStr">
        <is>
          <t>-</t>
        </is>
      </c>
      <c r="R493" s="5" t="inlineStr">
        <is>
          <t>-</t>
        </is>
      </c>
      <c r="S493" s="5" t="inlineStr">
        <is>
          <t>esterase</t>
        </is>
      </c>
      <c r="T493" s="5" t="inlineStr">
        <is>
          <t>Bacillus safensis</t>
        </is>
      </c>
      <c r="U493" s="5">
        <f>FALSE()</f>
        <v/>
      </c>
      <c r="V493" s="5">
        <f>TRUE()</f>
        <v/>
      </c>
      <c r="W493" s="5" t="inlineStr">
        <is>
          <t>MKVMFVKKRSLQILIALALVIGSMAFIQPKEVKAAEHNPVVMVHGIGGASYNFFSIKSYLATQGWDRNQLYAIDFIDKTGNNRNNGPRLSRFVKDVLDKTGAKKVDIVAHSMGGANTLYYIKNLDGGDKIENVVTIGGANGLVSSRALPGTDPNQKILYTSVYSSADLIVVNSLSRLIGARNVLIHGVGHIGLLTSSQVKGYIKEGLNGGGQNTN</t>
        </is>
      </c>
      <c r="X493" s="5" t="n">
        <v>1</v>
      </c>
      <c r="Y493" s="5" t="inlineStr">
        <is>
          <t>LipMRD9</t>
        </is>
      </c>
      <c r="Z493" s="5" t="inlineStr">
        <is>
          <t>APJ12152</t>
        </is>
      </c>
      <c r="AA493" s="5" t="inlineStr">
        <is>
          <t>Direct</t>
        </is>
      </c>
      <c r="AB493" s="5" t="n">
        <v>235</v>
      </c>
      <c r="AC493" s="5" t="inlineStr">
        <is>
          <t>10.1002/cctc.202400765</t>
        </is>
      </c>
      <c r="AD493" s="5" t="inlineStr">
        <is>
          <t>MKVMFVKKRSLQILIALALVIGSMAFIQPKEVKAAEHNPVVMVHGIGGASYNFFSIKSYLATQGWDRNQLYAIDFIDKTGNNRNNGPRLSRFVKDVLDKTGAKKVDIVAHSMGGANTLYYIKNLDGGDKIENVVTIGGANGLVSSRALPGTDPNQKILYTSVYSSADLIVVNSLSRLIGARNVLIHGVGHIGLLTSSQVKGYIKEGLNGGGQNTN</t>
        </is>
      </c>
      <c r="AE493" s="5" t="inlineStr">
        <is>
          <t>Bacillus safensis</t>
        </is>
      </c>
      <c r="AF493" s="5" t="n">
        <v>561879</v>
      </c>
      <c r="AG493" s="5" t="inlineStr">
        <is>
          <t>supp_unavailable</t>
        </is>
      </c>
      <c r="AH493" s="5" t="inlineStr">
        <is>
          <t>ncbi</t>
        </is>
      </c>
      <c r="AI493" s="5" t="n"/>
      <c r="AJ493" s="5" t="n"/>
      <c r="AK493" s="5" t="n"/>
      <c r="AL493" s="5" t="n">
        <v>1</v>
      </c>
    </row>
    <row r="494" ht="15" customHeight="1" s="12">
      <c r="A494" s="5" t="inlineStr">
        <is>
          <t>both</t>
        </is>
      </c>
      <c r="B494" s="5" t="inlineStr">
        <is>
          <t>MKYFTISLLAALATASPIAVPEMQISGDIEARQVGSSKNELETGSASNCPKAILIFARGSTETGNLGTLGAPLGDALESRYGASNVWVQGVGGPYDAALGDNALPRGSSAAAIREGVRLLNLANSKCPNSKVVAGGYSQGAALAAAAISDASTTVRNQIVGTVLFGYTKNQQNRGGIPGYPQDRLRVYCAVGDLVCEGTLIVLAPHLSYGDEARNEAPAFLISKIGN</t>
        </is>
      </c>
      <c r="C494" s="5" t="n">
        <v>140</v>
      </c>
      <c r="D494" s="5" t="inlineStr">
        <is>
          <t>A0A060N399</t>
        </is>
      </c>
      <c r="E494" s="5" t="n">
        <v>2</v>
      </c>
      <c r="F494" s="5" t="inlineStr">
        <is>
          <t>Cut</t>
        </is>
      </c>
      <c r="G494" s="5" t="inlineStr">
        <is>
          <t>Alpha/Beta Hydrolase</t>
        </is>
      </c>
      <c r="H494" s="5" t="inlineStr">
        <is>
          <t>3.40.50.1820</t>
        </is>
      </c>
      <c r="I494" s="5" t="inlineStr">
        <is>
          <t>Eukaryota</t>
        </is>
      </c>
      <c r="J494" s="5" t="inlineStr">
        <is>
          <t>Paraphoma sp. B47-9</t>
        </is>
      </c>
      <c r="K494" s="5" t="inlineStr">
        <is>
          <t>PLAse</t>
        </is>
      </c>
      <c r="L494" s="5" t="inlineStr">
        <is>
          <t>PLA</t>
        </is>
      </c>
      <c r="M494" s="5" t="inlineStr">
        <is>
          <t>-</t>
        </is>
      </c>
      <c r="N494" s="5" t="inlineStr">
        <is>
          <t>Suzuki, 2014</t>
        </is>
      </c>
      <c r="O494" s="5" t="inlineStr">
        <is>
          <t>A0A060N399</t>
        </is>
      </c>
      <c r="P494" s="5" t="inlineStr">
        <is>
          <t>-</t>
        </is>
      </c>
      <c r="Q494" s="5" t="inlineStr">
        <is>
          <t>-</t>
        </is>
      </c>
      <c r="R494" s="5" t="inlineStr">
        <is>
          <t>A0A060N399</t>
        </is>
      </c>
      <c r="S494" s="5" t="inlineStr">
        <is>
          <t>Cutinase</t>
        </is>
      </c>
      <c r="T494" s="5" t="inlineStr">
        <is>
          <t>Paraphoma sp. B47-9</t>
        </is>
      </c>
      <c r="U494" s="5">
        <f>FALSE()</f>
        <v/>
      </c>
      <c r="V494" s="5">
        <f>TRUE()</f>
        <v/>
      </c>
      <c r="W494" s="5" t="inlineStr">
        <is>
          <t>MKYFTISLLAALATASPIAVPEMQISGDIEARQVGSSKNELETGSASNCPKAILIFARGSTETGNLGTLGAPLGDALESRYGASNVWVQGVGGPYDAALGDNALPRGSSAAAIREGVRLLNLANSKCPNSKVVAGGYSQGAALAAAAISDASTTVRNQIVGTVLFGYTKNQQNRGGIPGYPQDRLRVYCAVGDLVCEGTLIVLAPHLSYGDEARNEAPAFLISKIGN</t>
        </is>
      </c>
      <c r="X494" s="5" t="n">
        <v>1</v>
      </c>
      <c r="Y494" s="5" t="inlineStr">
        <is>
          <t>PCLE</t>
        </is>
      </c>
      <c r="Z494" s="5" t="inlineStr">
        <is>
          <t>BAN51852.1</t>
        </is>
      </c>
      <c r="AA494" s="5" t="inlineStr">
        <is>
          <t>Direct</t>
        </is>
      </c>
      <c r="AB494" s="5" t="n">
        <v>98</v>
      </c>
      <c r="AC494" s="5" t="inlineStr">
        <is>
          <t>10.1007/s00253-013-5454-0</t>
        </is>
      </c>
      <c r="AD494" s="5" t="inlineStr">
        <is>
          <t>MKYFTISLLAALATASPIAVPEMQISGDIEARQVGSSKNELETGSASNCPKAILIFARGSTETGNLGTLGAPLGDALESRYGASNVWVQGVGGPYDAALGDNALPRGSSAAAIREGVRLLNLANSKCPNSKVVAGGYSQGAALAAAAISDASTTVRNQIVGTVLFGYTKNQQNRGGIPGYPQDRLRVYCAVGDLVCEGTLIVLAPHLSYGDEARNEAPAFLISKIGN</t>
        </is>
      </c>
      <c r="AE494" s="5" t="inlineStr">
        <is>
          <t>Paraphoma sp. B47-9</t>
        </is>
      </c>
      <c r="AF494" s="5" t="n">
        <v>1804209</v>
      </c>
      <c r="AG494" s="5" t="inlineStr">
        <is>
          <t>supp_unavailable</t>
        </is>
      </c>
      <c r="AH494" s="5" t="inlineStr">
        <is>
          <t>ncbi</t>
        </is>
      </c>
      <c r="AI494" s="5" t="n"/>
      <c r="AJ494" s="5" t="n"/>
      <c r="AK494" s="5" t="n"/>
      <c r="AL494" s="5" t="n">
        <v>1</v>
      </c>
    </row>
    <row r="495" ht="15" customHeight="1" s="12">
      <c r="A495" s="5" t="inlineStr">
        <is>
          <t>both</t>
        </is>
      </c>
      <c r="B495" s="5" t="inlineStr">
        <is>
          <t>MLFSAIALAALSAASMSCAAPTPESAAGHELEARATSSACPQYVLINTRGTGEPQGQSAGFRTMNSQITAALSGGTIYNTVYTADFSQNSAAGTADIIRRINSGLASNPNVCYILQGYSQGAAATVVALQQLGTSGAAFNAVKGVFLIGNPDHKAGLTCNVDSNGGTTTRNVNGLSVAYQGSIPSGWVSKTLDVCAYGDGVCDTTHGYGINAPHLSYPNDQGVQSMGYKFAVNKLGGSA</t>
        </is>
      </c>
      <c r="C495" s="5" t="n">
        <v>142</v>
      </c>
      <c r="D495" s="5" t="inlineStr">
        <is>
          <t>A0A0P0ZE81</t>
        </is>
      </c>
      <c r="E495" s="5" t="n">
        <v>2</v>
      </c>
      <c r="F495" s="5" t="inlineStr">
        <is>
          <t>Cut</t>
        </is>
      </c>
      <c r="G495" s="5" t="inlineStr">
        <is>
          <t>Alpha/Beta Hydrolase</t>
        </is>
      </c>
      <c r="H495" s="5" t="inlineStr">
        <is>
          <t>3.40.50.1820</t>
        </is>
      </c>
      <c r="I495" s="5" t="inlineStr">
        <is>
          <t>Eukaryota</t>
        </is>
      </c>
      <c r="J495" s="5" t="inlineStr">
        <is>
          <t>Cryptococcus flavus</t>
        </is>
      </c>
      <c r="K495" s="5" t="inlineStr">
        <is>
          <t>GB-1; CLE</t>
        </is>
      </c>
      <c r="L495" s="5" t="inlineStr">
        <is>
          <t>PLA</t>
        </is>
      </c>
      <c r="M495" s="5" t="inlineStr">
        <is>
          <t>-</t>
        </is>
      </c>
      <c r="N495" s="5" t="inlineStr">
        <is>
          <t>Ueda, 2021</t>
        </is>
      </c>
      <c r="O495" s="5" t="inlineStr">
        <is>
          <t>A0A0P0ZE81</t>
        </is>
      </c>
      <c r="P495" s="5" t="inlineStr">
        <is>
          <t>-</t>
        </is>
      </c>
      <c r="Q495" s="5" t="inlineStr">
        <is>
          <t>-</t>
        </is>
      </c>
      <c r="R495" s="5" t="inlineStr">
        <is>
          <t>A0A0P0ZE81</t>
        </is>
      </c>
      <c r="S495" s="5" t="inlineStr">
        <is>
          <t>Cutinase-like enzyme</t>
        </is>
      </c>
      <c r="T495" s="5" t="inlineStr">
        <is>
          <t>Saitozyma flava</t>
        </is>
      </c>
      <c r="U495" s="5">
        <f>FALSE()</f>
        <v/>
      </c>
      <c r="V495" s="5">
        <f>TRUE()</f>
        <v/>
      </c>
      <c r="W495" s="5" t="inlineStr">
        <is>
          <t>MLFSAIALAALSAASMSCAAPTPESAAGHELEARATSSACPQYVLINTRGTGEPQGQSAGFRTMNSQITAALSGGTIYNTVYTADFSQNSAAGTADIIRRINSGLASNPNVCYILQGYSQGAAATVVALQQLGTSGAAFNAVKGVFLIGNPDHKAGLTCNVDSNGGTTTRNVNGLSVAYQGSIPSGWVSKTLDVCAYGDGVCDTTHGYGINAPHLSYPNDQGVQSMGYKFAVNKLGGSA</t>
        </is>
      </c>
      <c r="X495" s="5" t="n">
        <v>1</v>
      </c>
      <c r="Y495" s="5" t="inlineStr">
        <is>
          <t>CfCLE</t>
        </is>
      </c>
      <c r="Z495" s="5" t="inlineStr">
        <is>
          <t>BAT32793.1</t>
        </is>
      </c>
      <c r="AA495" s="5" t="inlineStr">
        <is>
          <t>Direct</t>
        </is>
      </c>
      <c r="AB495" s="5" t="n">
        <v>96</v>
      </c>
      <c r="AC495" s="5" t="inlineStr">
        <is>
          <t>10.1093/bbb/zbab113</t>
        </is>
      </c>
      <c r="AD495" s="5" t="inlineStr">
        <is>
          <t>MLFSAIALAALSAASMSCAAPTPESAAGHELEARATSSACPQYVLINTRGTGEPQGQSAGFRTMNSQITAALSGGTIYNTVYTADFSQNSAAGTADIIRRINSGLASNPNVCYILQGYSQGAAATVVALQQLGTSGAAFNAVKGVFLIGNPDHKAGLTCNVDSNGGTTTRNVNGLSVAYQGSIPSGWVSKTLDVCAYGDGVCDTTHGYGINAPHLSYPNDQGVQSMGYKFAVNKLGGSA</t>
        </is>
      </c>
      <c r="AE495" s="5" t="inlineStr">
        <is>
          <t>Saitozyma flava</t>
        </is>
      </c>
      <c r="AF495" s="5" t="n">
        <v>5416</v>
      </c>
      <c r="AG495" s="5" t="inlineStr">
        <is>
          <t>supp_unavailable</t>
        </is>
      </c>
      <c r="AH495" s="5" t="inlineStr">
        <is>
          <t>ncbi</t>
        </is>
      </c>
      <c r="AI495" s="5" t="n"/>
      <c r="AJ495" s="5" t="n"/>
      <c r="AK495" s="5" t="n"/>
      <c r="AL495" s="5" t="n">
        <v>1</v>
      </c>
    </row>
    <row r="496" ht="15" customHeight="1" s="12">
      <c r="A496" s="5" t="inlineStr">
        <is>
          <t>both</t>
        </is>
      </c>
      <c r="B496" s="5" t="inlineStr">
        <is>
          <t>MLKREEMVSSIPATPWRWAFTALAAAALAACGSGEHEPSNDLPKGFTELGATVYPATATGTGATAATQDLLTGGLGKTGLGAAAAPLYADPANPTAAELRRNALYSNYRGILDPTAGGGYGTLYGPNITANGQVTAGEGLIPGREYLAVLDDGTGRKQTMVAVQVPDSFDRNRPCIVLGPSSGSRGVYGAIGTAGEWGLKKGCAVALTDAGKGVGLHNLSDDTVNKLDGTRATRTDAGSLSFFAARLTDAARAAYNAAFPNRIAIKHAHSQQNPEKDWGNDTLAAARYALYVLNARYGTTQDPVPFGKDNTLVLAGSASNGGAAVLRAAELDADGLIDGVVASEPVTEMPTRQGYTIAVGNATMPNPGRTLAEYTTYGNIYQPCAALAPDAALTETSIFNYIGLTAMTARAEARCTSLAAKGLVIGATTADRAANALSKLRLYGWTRDHDRMHNAHYALGNGPILSAMYTMAYGRFGVDANLCRTSFAAANATGDVVPATGAALAQSFATANGTANGTPATVVYNDSVGGAKAWQFAVSPSTRVADLGLDNALCQHALVTGFDPVTGFNLSESSVPTRAQSDAVRAGIAEVLHTAKLRGKPTIIVAGRSDALVPVNHNARAYTVLNRGLDGSNTRLRYIEVVNAQHFDAFLPFSGFDTRFVPLHPYFNQAMDAVWANLRSSTALPASQVVRTTPRGGQPGAAPAITAAQVPPFVARPSTANTIEVSDGLIRIPE</t>
        </is>
      </c>
      <c r="C496" s="5" t="n">
        <v>123</v>
      </c>
      <c r="D496" s="5" t="inlineStr">
        <is>
          <t>KFJ10595.1</t>
        </is>
      </c>
      <c r="E496" s="5" t="n">
        <v>28</v>
      </c>
      <c r="F496" s="5" t="inlineStr">
        <is>
          <t>Ipet</t>
        </is>
      </c>
      <c r="G496" s="5" t="inlineStr">
        <is>
          <t>Alpha/Beta Hydrolase</t>
        </is>
      </c>
      <c r="H496" s="5" t="inlineStr">
        <is>
          <t>3.40.50.1820</t>
        </is>
      </c>
      <c r="I496" s="5" t="inlineStr">
        <is>
          <t>Bacteria</t>
        </is>
      </c>
      <c r="J496" s="5" t="inlineStr">
        <is>
          <t>Commamonas acidivorans YM1609</t>
        </is>
      </c>
      <c r="K496" s="5" t="inlineStr">
        <is>
          <t>PhaZCac</t>
        </is>
      </c>
      <c r="L496" s="5" t="inlineStr">
        <is>
          <t>PHA</t>
        </is>
      </c>
      <c r="M496" s="5" t="inlineStr">
        <is>
          <t>-</t>
        </is>
      </c>
      <c r="N496" s="5" t="inlineStr">
        <is>
          <t>Kasuya, 1997; Kasuya 1999</t>
        </is>
      </c>
      <c r="O496" s="5" t="inlineStr">
        <is>
          <t>A0A080NJE8</t>
        </is>
      </c>
      <c r="P496" s="5" t="inlineStr">
        <is>
          <t>KFJ10595.1</t>
        </is>
      </c>
      <c r="Q496" s="5" t="inlineStr">
        <is>
          <t>-</t>
        </is>
      </c>
      <c r="R496" s="5" t="inlineStr">
        <is>
          <t>-</t>
        </is>
      </c>
      <c r="S496" s="5" t="inlineStr">
        <is>
          <t>D-(-)-3-hydroxybutyrate oligomer hydrolase</t>
        </is>
      </c>
      <c r="T496" s="5" t="inlineStr">
        <is>
          <t>Delftia acidovorans</t>
        </is>
      </c>
      <c r="U496" s="5">
        <f>FALSE()</f>
        <v/>
      </c>
      <c r="V496" s="5">
        <f>TRUE()</f>
        <v/>
      </c>
      <c r="W496" s="5" t="inlineStr">
        <is>
          <t>MLKREEMVSSIPATPWRWAFTALAAAALAACGSGEHEPSNDLPKGFTELGATVYPATATGTGATAATQDLLTGGLGKTGLGAAAAPLYADPANPTAAELRRNALYSNYRGILDPTAGGGYGTLYGPNITANGQVTAGEGLIPGREYLAVLDDGTGRKQTMVAVQVPDSFDRNRPCIVLGPSSGSRGVYGAIGTAGEWGLKKGCAVALTDAGKGVGLHNLSDDTVNKLDGTRATRTDAGSLSFFAARLTDAARAAYNAAFPNRIAIKHAHSQQNPEKDWGNDTLAAARYALYVLNARYGTTQDPVPFGKDNTLVLAGSASNGGAAVLRAAELDADGLIDGVVASEPVTEMPTRQGYTIAVGNATMPNPGRTLAEYTTYGNIYQPCAALAPDAALTETSIFNYIGLTAMTARAEARCTSLAAKGLVIGATTADRAANALSKLRLYGWTRDHDRMHNAHYALGNGPILSAMYTMAYGRFGVDANLCRTSFAAANATGDVVPATGAALAQSFATANGTANGTPATVVYNDSVGGAKAWQFAVSPSTRVADLGLDNALCQHALVTGFDPVTGFNLSESSVPTRAQSDAVRAGIAEVLHTAKLRGKPTIIVAGRSDALVPVNHNARAYTVLNRGLDGSNTRLRYIEVVNAQHFDAFLPFSGFDTRFVPLHPYFNQAMDAVWANLRSSTALPASQVVRTTPRGGQPGAAPAITAAQVPPFVARPSTANTIEVSDGLIRIPE</t>
        </is>
      </c>
      <c r="X496" s="5" t="n">
        <v>1</v>
      </c>
      <c r="Y496" s="5" t="inlineStr">
        <is>
          <t>PhaZCac</t>
        </is>
      </c>
      <c r="Z496" s="5" t="inlineStr">
        <is>
          <t>WP_034398300.1</t>
        </is>
      </c>
      <c r="AA496" s="5" t="inlineStr">
        <is>
          <t>Direct</t>
        </is>
      </c>
      <c r="AB496" s="5" t="n">
        <v>113</v>
      </c>
      <c r="AC496" s="5" t="inlineStr">
        <is>
          <t>10.1128/aem.63.12.4844-4852.1997; 10.1016/S0141-8130(99)00046-X</t>
        </is>
      </c>
      <c r="AD496" s="5" t="inlineStr">
        <is>
          <t>MLKREEMVSSIPATPWRWAFTALAAAALAACGSGEHEPSNDLPKGFTELGATVYPATATGTGATAATQDLLTGGLGKTGLGAAAAPLYADPANPTAAELRRNALYSNYRGILDPTAGGGYGTLYGPNITANGQVTAGEGLIPGREYLAVLDDGTGRKQTMVAVQVPDSFDRNRPCIVLGPSSGSRGVYGAIGTAGEWGLKKGCAVALTDAGKGVGLHNLSDDTVNKLDGTRATRTDAGSLSFFAARLTDAARAAYNAAFPNRIAIKHAHSQQNPEKDWGNDTLAAARYALYVLNARYGTTQDPVPFGKDNTLVLAGSASNGGAAVLRAAELDADGLIDGVVASEPVTEMPTRQGYTIAVGNATMPNPGRTLAEYTTYGNIYQPCAALAPDAALTETSIFNYIGLTAMTARAEARCTSLAAKGLVIGATTADRAANALSKLRLYGWTRDHDRMHNAHYALGNGPILSAMYTMAYGRFGVDANLCRTSFAAANATGDVVPATGAALAQSFATANGTANGTPATVVYNDSVGGAKAWQFAVSPSTRVADLGLDNALCQHALVTGFDPVTGFNLSESSVPTRAQSDAVRAGIAEVLHTAKLRGKPTIIVAGRSDALVPVNHNARAYTVLNRGLDGSNTRLRYIEVVNAQHFDAFLPFSGFDTRFVPLHPYFNQAMDAVWANLRSSTALPASQVVRTTPRGGQPGAAPAITAAQVPPFVARPSTANTIEVSDGLIRIPE</t>
        </is>
      </c>
      <c r="AE496" s="5" t="inlineStr">
        <is>
          <t>Delftia acidovorans</t>
        </is>
      </c>
      <c r="AF496" s="5" t="n">
        <v>80866</v>
      </c>
      <c r="AG496" s="5" t="inlineStr">
        <is>
          <t>supp_unavailable</t>
        </is>
      </c>
      <c r="AH496" s="5" t="inlineStr">
        <is>
          <t>ncbi</t>
        </is>
      </c>
      <c r="AI496" s="5" t="n"/>
      <c r="AJ496" s="5" t="n"/>
      <c r="AK496" s="5" t="n"/>
      <c r="AL496" s="5" t="n">
        <v>1</v>
      </c>
    </row>
    <row r="497" ht="15" customHeight="1" s="12">
      <c r="A497" s="5" t="inlineStr">
        <is>
          <t>both</t>
        </is>
      </c>
      <c r="B497" s="5" t="inlineStr">
        <is>
          <t>MLLKKRWLIFISFLLAFTLLIPTAASASEKHYKPNIALEPIENSEGNEHPIILVHGLGGFGRDELGGIIKMWGGIHDIEKKLREKGYKVYTAAVGPVSSNRDRAIELYYQIKGGTVDYGEAHAKKYGHDRYGRTYPGFYPEWGEINPKTGKPNKVHLIGHSMGGQTIRTLAQLLYEGDPEEHKTGGNDISPLLSGEKQPWLHSVLSISSPHDGSTATYLVNDVIPIIQELVIGAAIFAGNIDQNLYDFKLDHWGIKKRPGESFHSYVQRVRNSPGWKTKDTANWDLKPEGAYELNRWVKAQPDVYYFSVSNTQSRRSLLTGYYVPDLFMNPFLHPTAYYIGSKTFRKSNFVLDKTWWENDGLVSVKAMKGPNIGSNDVIVEYNGTPRKGVWNHLGTMRQFDHLDIIGWGVRDVTSWYEDVARFLYSLPDDY</t>
        </is>
      </c>
      <c r="C497" s="5" t="n">
        <v>115</v>
      </c>
      <c r="D497" s="5" t="inlineStr">
        <is>
          <t>BAF57210.1</t>
        </is>
      </c>
      <c r="E497" s="5" t="n">
        <v>25</v>
      </c>
      <c r="F497" s="5" t="inlineStr">
        <is>
          <t>Ipet</t>
        </is>
      </c>
      <c r="G497" s="5" t="inlineStr">
        <is>
          <t>Alpha/Beta Hydrolase</t>
        </is>
      </c>
      <c r="H497" s="5" t="inlineStr">
        <is>
          <t>3.40.50.1820</t>
        </is>
      </c>
      <c r="I497" s="5" t="inlineStr">
        <is>
          <t>Metagenome</t>
        </is>
      </c>
      <c r="J497" s="5" t="inlineStr">
        <is>
          <t>Metagenome</t>
        </is>
      </c>
      <c r="K497" s="5" t="inlineStr">
        <is>
          <t>PlaM4 depolymerase</t>
        </is>
      </c>
      <c r="L497" s="5" t="inlineStr">
        <is>
          <t>PLA</t>
        </is>
      </c>
      <c r="M497" s="5" t="inlineStr">
        <is>
          <t>EC 3.1.1.1</t>
        </is>
      </c>
      <c r="N497" s="5" t="inlineStr">
        <is>
          <t>Mayumi, 2008</t>
        </is>
      </c>
      <c r="O497" s="5" t="inlineStr">
        <is>
          <t>AB302136; A4UZ10</t>
        </is>
      </c>
      <c r="P497" s="5" t="inlineStr">
        <is>
          <t>BAF57210.1</t>
        </is>
      </c>
      <c r="Q497" s="5" t="inlineStr">
        <is>
          <t>-</t>
        </is>
      </c>
      <c r="R497" s="5" t="inlineStr">
        <is>
          <t>A4UZ10</t>
        </is>
      </c>
      <c r="S497" s="5" t="inlineStr">
        <is>
          <t>PLA depolymerase</t>
        </is>
      </c>
      <c r="T497" s="5" t="inlineStr">
        <is>
          <t>uncultured bacterium</t>
        </is>
      </c>
      <c r="U497" s="5">
        <f>TRUE()</f>
        <v/>
      </c>
      <c r="V497" s="5">
        <f>TRUE()</f>
        <v/>
      </c>
      <c r="W497" s="5" t="inlineStr">
        <is>
          <t>MLLKKRWLIFISFLLAFTLLIPTAASASEKHYKPNIALEPIENSEGNEHPIILVHGLGGFGRDELGGIIKMWGGIHDIEKKLREKGYKVYTAAVGPVSSNRDRAIELYYQIKGGTVDYGEAHAKKYGHDRYGRTYPGFYPEWGEINPKTGKPNKVHLIGHSMGGQTIRTLAQLLYEGDPEEHKTGGNDISPLLSGEKQPWLHSVLSISSPHDGSTATYLVNDVIPIIQELVIGAAIFAGNIDQNLYDFKLDHWGIKKRPGESFHSYVQRVRNSPGWKTKDTANWDLKPEGAYELNRWVKAQPDVYYFSVSNTQSRRSLLTGYYVPDLFMNPFLHPTAYYIGSKTFRKSNFVLDKTWWENDGLVSVKAMKGPNIGSNDVIVEYNGTPRKGVWNHLGTMRQFDHLDIIGWGVRDVTSWYEDVARFLYSLPDDY</t>
        </is>
      </c>
      <c r="X497" s="5" t="n">
        <v>1</v>
      </c>
      <c r="Y497" s="5" t="inlineStr">
        <is>
          <t>PlaM4</t>
        </is>
      </c>
      <c r="Z497" s="5" t="inlineStr">
        <is>
          <t>BAF57210.1</t>
        </is>
      </c>
      <c r="AA497" s="5" t="inlineStr">
        <is>
          <t>Direct</t>
        </is>
      </c>
      <c r="AB497" s="5" t="n">
        <v>88</v>
      </c>
      <c r="AC497" s="5" t="inlineStr">
        <is>
          <t>10.1007/s00253-008-1477-3</t>
        </is>
      </c>
      <c r="AD497" s="5" t="inlineStr">
        <is>
          <t>MLLKKRWLIFISFLLAFTLLIPTAASASEKHYKPNIALEPIENSEGNEHPIILVHGLGGFGRDELGGIIKMWGGIHDIEKKLREKGYKVYTAAVGPVSSNRDRAIELYYQIKGGTVDYGEAHAKKYGHDRYGRTYPGFYPEWGEINPKTGKPNKVHLIGHSMGGQTIRTLAQLLYEGDPEEHKTGGNDISPLLSGEKQPWLHSVLSISSPHDGSTATYLVNDVIPIIQELVIGAAIFAGNIDQNLYDFKLDHWGIKKRPGESFHSYVQRVRNSPGWKTKDTANWDLKPEGAYELNRWVKAQPDVYYFSVSNTQSRRSLLTGYYVPDLFMNPFLHPTAYYIGSKTFRKSNFVLDKTWWENDGLVSVKAMKGPNIGSNDVIVEYNGTPRKGVWNHLGTMRQFDHLDIIGWGVRDVTSWYEDVARFLYSLPDDY</t>
        </is>
      </c>
      <c r="AE497" s="5" t="inlineStr">
        <is>
          <t>PLA disk compost metagenome</t>
        </is>
      </c>
      <c r="AF497" s="5" t="n"/>
      <c r="AG497" s="5" t="inlineStr">
        <is>
          <t>supp_unavailable</t>
        </is>
      </c>
      <c r="AH497" s="5" t="inlineStr">
        <is>
          <t>ncbi</t>
        </is>
      </c>
      <c r="AI497" s="5" t="n"/>
      <c r="AJ497" s="5" t="n"/>
      <c r="AK497" s="5" t="n"/>
      <c r="AL497" s="5" t="n">
        <v>1</v>
      </c>
    </row>
    <row r="498" ht="15" customHeight="1" s="12">
      <c r="A498" s="5" t="inlineStr">
        <is>
          <t>both</t>
        </is>
      </c>
      <c r="B498" s="5" t="inlineStr">
        <is>
          <t>MLRDVVQSLLQEHIVYVTDWSNGAIALLASRDEATPTSLTLIGGPIDARRSPTAIGRLASSRSIQWFRRNLVYPVPHPYAGAGRQVCPSFVQLSGLAAAQSSPLWGLCEGYWANLARGDAERANVHWQALLDYSAVLDMAAEFYLDTVRTVFQEFQIAFGTWRVRGQLVRPQDIRSTALLTIEGELDDISGRGQTHAAHDLCRGLSAHDRRLVTIAGCTHYDLFRGPVWHTEVFPWICDMTRDDM</t>
        </is>
      </c>
      <c r="C498" s="5" t="n">
        <v>160</v>
      </c>
      <c r="D498" s="5" t="inlineStr">
        <is>
          <t>Q7WXF6</t>
        </is>
      </c>
      <c r="E498" s="5" t="n">
        <v>3</v>
      </c>
      <c r="F498" s="5" t="inlineStr">
        <is>
          <t>PhaZ</t>
        </is>
      </c>
      <c r="G498" s="5" t="inlineStr">
        <is>
          <t>Alpha/Beta Hydrolase</t>
        </is>
      </c>
      <c r="H498" s="5" t="inlineStr">
        <is>
          <t>3.40.50.1820</t>
        </is>
      </c>
      <c r="I498" s="5" t="inlineStr">
        <is>
          <t>Bacteria</t>
        </is>
      </c>
      <c r="J498" s="5" t="inlineStr">
        <is>
          <t>Cuprivadus necator ATC17699</t>
        </is>
      </c>
      <c r="K498" s="5" t="inlineStr">
        <is>
          <t>PhaZ4</t>
        </is>
      </c>
      <c r="L498" s="5" t="inlineStr">
        <is>
          <t>PHA</t>
        </is>
      </c>
      <c r="M498" s="5" t="inlineStr">
        <is>
          <t>-</t>
        </is>
      </c>
      <c r="N498" s="5" t="inlineStr">
        <is>
          <t>Brigham,2012</t>
        </is>
      </c>
      <c r="O498" s="5" t="inlineStr">
        <is>
          <t>Q7WXF6</t>
        </is>
      </c>
      <c r="P498" s="5" t="inlineStr">
        <is>
          <t>Q7WXF6</t>
        </is>
      </c>
      <c r="Q498" s="5" t="inlineStr">
        <is>
          <t>-</t>
        </is>
      </c>
      <c r="R498" s="5" t="inlineStr">
        <is>
          <t>Q7WXF6</t>
        </is>
      </c>
      <c r="S498" s="5" t="inlineStr">
        <is>
          <t>PHB depolymerase</t>
        </is>
      </c>
      <c r="T498" s="5" t="inlineStr">
        <is>
          <t>Cupriavidus necator H16</t>
        </is>
      </c>
      <c r="U498" s="5">
        <f>FALSE()</f>
        <v/>
      </c>
      <c r="V498" s="5">
        <f>FALSE()</f>
        <v/>
      </c>
      <c r="W498" s="5" t="inlineStr">
        <is>
          <t>MLRDVVQSLLQEHIVYVTDWSNGAIALLASRDEATPTSLTLIGGPIDARRSPTAIGRLASSRSIQWFRRNLVYPVPHPYAGAGRQVCPSFVQLSGLAAAQSSPLWGLCEGYWANLARGDAERANVHWQALLDYSAVLDMAAEFYLDTVRTVFQEFQIAFGTWRVRGQLVRPQDIRSTALLTIEGELDDISGRGQTHAAHDLCRGLSAHDRRLVTIAGCTHYDLFRGPVWHTEVFPWICDMTRDDM</t>
        </is>
      </c>
      <c r="X498" s="5" t="n">
        <v>1</v>
      </c>
      <c r="Y498" s="5" t="inlineStr">
        <is>
          <t>PhaZ4</t>
        </is>
      </c>
      <c r="Z498" s="5" t="inlineStr">
        <is>
          <t>AAP85930.1</t>
        </is>
      </c>
      <c r="AA498" s="5" t="inlineStr">
        <is>
          <t>Direct</t>
        </is>
      </c>
      <c r="AB498" s="5" t="n">
        <v>103</v>
      </c>
      <c r="AC498" s="5" t="inlineStr">
        <is>
          <t>10.1186/2191-0855-2-26</t>
        </is>
      </c>
      <c r="AD498" s="5" t="inlineStr">
        <is>
          <t>MLRDVVQSLLQEHIVYVTDWSNGAIALLASRDEATPTSLTLIGGPIDARRSPTAIGRLASSRSIQWFRRNLVYPVPHPYAGAGRQVCPSFVQLSGLAAAQSSPLWGLCEGYWANLARGDAERANVHWQALLDYSAVLDMAAEFYLDTVRTVFQEFQIAFGTWRVRGQLVRPQDIRSTALLTIEGELDDISGRGQTHAAHDLCRGLSAHDRRLVTIAGCTHYDLFRGPVWHTEVFPWICDMTRDDM</t>
        </is>
      </c>
      <c r="AE498" s="5" t="inlineStr">
        <is>
          <t>Cupriavidus necator</t>
        </is>
      </c>
      <c r="AF498" s="5" t="n">
        <v>106590</v>
      </c>
      <c r="AG498" s="5" t="inlineStr">
        <is>
          <t>supp_unavailable</t>
        </is>
      </c>
      <c r="AH498" s="5" t="inlineStr">
        <is>
          <t>ncbi</t>
        </is>
      </c>
      <c r="AI498" s="5" t="n"/>
      <c r="AJ498" s="5" t="n"/>
      <c r="AK498" s="5" t="n"/>
      <c r="AL498" s="5" t="n">
        <v>1</v>
      </c>
    </row>
    <row r="499" ht="15" customHeight="1" s="12">
      <c r="A499" s="5" t="inlineStr">
        <is>
          <t>both</t>
        </is>
      </c>
      <c r="B499" s="5" t="inlineStr">
        <is>
          <t>MLSFLRSTGRPERRRASLPALLLFTAALVASGLTAAPAAQAA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  <c r="C499" s="5" t="n">
        <v>58</v>
      </c>
      <c r="D499" s="5" t="inlineStr">
        <is>
          <t>SHM40309.1</t>
        </is>
      </c>
      <c r="E499" s="5" t="n">
        <v>1</v>
      </c>
      <c r="F499" s="5" t="inlineStr">
        <is>
          <t>Ipet</t>
        </is>
      </c>
      <c r="G499" s="5" t="inlineStr">
        <is>
          <t>Alpha/Beta Hydrolase</t>
        </is>
      </c>
      <c r="H499" s="5" t="inlineStr">
        <is>
          <t>3.40.50.1820</t>
        </is>
      </c>
      <c r="I499" s="5" t="inlineStr">
        <is>
          <t>Bacteria</t>
        </is>
      </c>
      <c r="J499" s="5" t="inlineStr">
        <is>
          <t>Cryptosporangium aurantiacum</t>
        </is>
      </c>
      <c r="K499" s="5" t="inlineStr">
        <is>
          <t>CaPETase</t>
        </is>
      </c>
      <c r="L499" s="5" t="inlineStr">
        <is>
          <t>PET</t>
        </is>
      </c>
      <c r="M499" s="5" t="inlineStr">
        <is>
          <t>-</t>
        </is>
      </c>
      <c r="N499" s="5" t="inlineStr">
        <is>
          <t>Hong, 2023</t>
        </is>
      </c>
      <c r="O499" s="5" t="inlineStr">
        <is>
          <t>SHM40309.1</t>
        </is>
      </c>
      <c r="P499" s="5" t="inlineStr">
        <is>
          <t>SHM40309.1</t>
        </is>
      </c>
      <c r="Q499" s="5" t="inlineStr">
        <is>
          <t>7YM9</t>
        </is>
      </c>
      <c r="R499" s="5" t="inlineStr">
        <is>
          <t>A0A1M7II12</t>
        </is>
      </c>
      <c r="S499" s="5" t="inlineStr">
        <is>
          <t>SAMN05443668_101498</t>
        </is>
      </c>
      <c r="T499" s="5" t="inlineStr">
        <is>
          <t>Cryptosporangium aurantiacum</t>
        </is>
      </c>
      <c r="U499" s="5">
        <f>FALSE()</f>
        <v/>
      </c>
      <c r="V499" s="5">
        <f>TRUE()</f>
        <v/>
      </c>
      <c r="W499" s="5" t="inlineStr">
        <is>
          <t>MLSFLRSTGRPERRRASLPALLLFTAALVASGLTAAPAAQAA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  <c r="X499" s="5" t="n">
        <v>1</v>
      </c>
      <c r="Y499" s="5" t="inlineStr">
        <is>
          <t>CaPETase</t>
        </is>
      </c>
      <c r="Z499" s="5" t="inlineStr">
        <is>
          <t>SHM40309</t>
        </is>
      </c>
      <c r="AA499" s="5" t="inlineStr">
        <is>
          <t>Direct</t>
        </is>
      </c>
      <c r="AB499" s="5" t="n">
        <v>215</v>
      </c>
      <c r="AC499" s="5" t="inlineStr">
        <is>
          <t>10.1038/s41467-023-40233-w</t>
        </is>
      </c>
      <c r="AD499" s="5" t="inlineStr">
        <is>
          <t>MLSFLRSTGRPERRRASLPALLLFTAALVASGLTAAPAAQAA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  <c r="AE499" s="5" t="inlineStr">
        <is>
          <t>Cryptosporangium aurantiacum</t>
        </is>
      </c>
      <c r="AF499" s="5" t="n">
        <v>134849</v>
      </c>
      <c r="AG499" s="5" t="inlineStr">
        <is>
          <t>supp_unavailable</t>
        </is>
      </c>
      <c r="AH499" s="5" t="inlineStr">
        <is>
          <t>ncbi</t>
        </is>
      </c>
      <c r="AI499" s="5" t="n"/>
      <c r="AJ499" s="5" t="n"/>
      <c r="AK499" s="5" t="n"/>
      <c r="AL499" s="5" t="n">
        <v>1</v>
      </c>
    </row>
    <row r="500" ht="15" customHeight="1" s="12">
      <c r="A500" s="5" t="inlineStr">
        <is>
          <t>both</t>
        </is>
      </c>
      <c r="B500" s="5" t="inlineStr">
        <is>
          <t>MLSQVTAVVAAAAAAVTLSAPALAANPYERGPDPTQASLEASRGPFPVSEERVSSPVSGFGGGTIYYPQENNTYGAVAISPGYTATQSSVAWLGERIASHGFVVITIDTNTTLDQPDSRADQLEAALDHMVDGASSTVRSRIDRNRLAVMGHSMGGGGTLRLASRRPDLKAAIPLTPWHLNKSWSNVQVPTLIIGAENDTVAPVALHAEPSYTSIPTSTRKAYLELNGASHFAPSVANATIGMYGVAWLKRFVDEDTRYTRFLCPGPRTGLFSDVEEYRSTCPF</t>
        </is>
      </c>
      <c r="C500" s="5" t="n">
        <v>74</v>
      </c>
      <c r="D500" s="5" t="inlineStr">
        <is>
          <t>WP_083947829.1</t>
        </is>
      </c>
      <c r="E500" s="5" t="n">
        <v>1</v>
      </c>
      <c r="F500" s="5" t="inlineStr">
        <is>
          <t>Ipet</t>
        </is>
      </c>
      <c r="G500" s="5" t="inlineStr">
        <is>
          <t>Alpha/Beta Hydrolase</t>
        </is>
      </c>
      <c r="H500" s="5" t="inlineStr">
        <is>
          <t>3.40.50.1820</t>
        </is>
      </c>
      <c r="I500" s="5" t="inlineStr">
        <is>
          <t>Bacteria</t>
        </is>
      </c>
      <c r="J500" s="5" t="inlineStr">
        <is>
          <t>Thermobifida cellulosilytica</t>
        </is>
      </c>
      <c r="K500" s="5" t="inlineStr">
        <is>
          <t>Enzyme 711</t>
        </is>
      </c>
      <c r="L500" s="5" t="inlineStr">
        <is>
          <t>PET</t>
        </is>
      </c>
      <c r="M500" s="5" t="inlineStr">
        <is>
          <t>-</t>
        </is>
      </c>
      <c r="N500" s="5" t="inlineStr">
        <is>
          <t>Erickson, 2022</t>
        </is>
      </c>
      <c r="O500" s="5" t="inlineStr">
        <is>
          <t>WP_083947829.1</t>
        </is>
      </c>
      <c r="P500" s="5" t="inlineStr">
        <is>
          <t>WP_083947829.1</t>
        </is>
      </c>
      <c r="Q500" s="5" t="inlineStr">
        <is>
          <t>7QJT</t>
        </is>
      </c>
      <c r="R500" s="5" t="inlineStr">
        <is>
          <t>-</t>
        </is>
      </c>
      <c r="S500" s="5" t="inlineStr">
        <is>
          <t>serine aminopeptidase domain-containing protein</t>
        </is>
      </c>
      <c r="T500" s="5" t="inlineStr">
        <is>
          <t>Thermobifida cellulosilytica</t>
        </is>
      </c>
      <c r="U500" s="5">
        <f>FALSE()</f>
        <v/>
      </c>
      <c r="V500" s="5">
        <f>TRUE()</f>
        <v/>
      </c>
      <c r="W500" s="5" t="inlineStr">
        <is>
          <t>MLSQVTAVVAAAAAAVTLSAPALAANPYERGPDPTQASLEASRGPFPVSEERVSSPVSGFGGGTIYYPQENNTYGAVAISPGYTATQSSVAWLGERIASHGFVVITIDTNTTLDQPDSRADQLEAALDHMVDGASSTVRSRIDRNRLAVMGHSMGGGGTLRLASRRPDLKAAIPLTPWHLNKSWSNVQVPTLIIGAENDTVAPVALHAEPSYTSIPTSTRKAYLELNGASHFAPSVANATIGMYGVAWLKRFVDEDTRYTRFLCPGPRTGLFSDVEEYRSTCPF</t>
        </is>
      </c>
      <c r="X500" s="5" t="n">
        <v>1</v>
      </c>
      <c r="Y500" s="5" t="n">
        <v>711</v>
      </c>
      <c r="Z500" s="5" t="inlineStr">
        <is>
          <t>WP_083947829</t>
        </is>
      </c>
      <c r="AA500" s="5" t="inlineStr">
        <is>
          <t>Direct</t>
        </is>
      </c>
      <c r="AB500" s="5" t="n">
        <v>154</v>
      </c>
      <c r="AC500" s="5" t="inlineStr">
        <is>
          <t>10.1038/s41467-022-35237-x</t>
        </is>
      </c>
      <c r="AD500" s="5" t="inlineStr">
        <is>
          <t>MLSQVTAVVAAAAAAVTLSAPALAANPYERGPDPTQASLEASRGPFPVSEERVSSPVSGFGGGTIYYPQENNTYGAVAISPGYTATQSSVAWLGERIASHGFVVITIDTNTTLDQPDSRADQLEAALDHMVDGASSTVRSRIDRNRLAVMGHSMGGGGTLRLASRRPDLKAAIPLTPWHLNKSWSNVQVPTLIIGAENDTVAPVALHAEPSYTSIPTSTRKAYLELNGASHFAPSVANATIGMYGVAWLKRFVDEDTRYTRFLCPGPRTGLFSDVEEYRSTCPF</t>
        </is>
      </c>
      <c r="AE500" s="5" t="inlineStr">
        <is>
          <t>Thermobifida cellulosilytica</t>
        </is>
      </c>
      <c r="AF500" s="5" t="n">
        <v>144786</v>
      </c>
      <c r="AG500" s="5" t="inlineStr">
        <is>
          <t>supp_unavailable</t>
        </is>
      </c>
      <c r="AH500" s="5" t="inlineStr">
        <is>
          <t>ncbi</t>
        </is>
      </c>
      <c r="AI500" s="5" t="n"/>
      <c r="AJ500" s="5" t="n"/>
      <c r="AK500" s="5" t="n"/>
      <c r="AL500" s="5" t="n">
        <v>1</v>
      </c>
    </row>
    <row r="501" ht="15" customHeight="1" s="12">
      <c r="A501" s="5" t="inlineStr">
        <is>
          <t>both</t>
        </is>
      </c>
      <c r="B501" s="5" t="inlineStr">
        <is>
          <t>MKLNRLFQVACLAATLVTATAASAVQIGPAPTKASLEASRGPFTVATTRLSANGHGGGTIYYPTNAGAKVGVIAIVPGYLSYQSSIEWWGPRLASHGFAVVTIDTLTIYDQPSSRSSQQLRALDQVVALGSKSTSPLYNKVDGSRTGVMGWSMGGGGSLISAQNRPSIKAAAPQAPWNTTSNFSSLTVPTLIFACQADVVAPILSHAVPFYNSMSRNPKQYLERTAGDHFCFNNANPTVGLKGVAWMKRFIDGDTRYTSFACSNPNALGFSSFRTERCS</t>
        </is>
      </c>
      <c r="C501" s="5" t="n">
        <v>75</v>
      </c>
      <c r="D501" s="5" t="inlineStr">
        <is>
          <t>WP_085749238.1</t>
        </is>
      </c>
      <c r="E501" s="5" t="n">
        <v>1</v>
      </c>
      <c r="F501" s="5" t="inlineStr">
        <is>
          <t>Ipet</t>
        </is>
      </c>
      <c r="G501" s="5" t="inlineStr">
        <is>
          <t>Alpha/Beta Hydrolase</t>
        </is>
      </c>
      <c r="H501" s="5" t="inlineStr">
        <is>
          <t>3.40.50.1820</t>
        </is>
      </c>
      <c r="I501" s="5" t="inlineStr">
        <is>
          <t>Bacteria</t>
        </is>
      </c>
      <c r="J501" s="5" t="inlineStr">
        <is>
          <t>Rhizobacter gummiphilus NS21</t>
        </is>
      </c>
      <c r="K501" s="5" t="inlineStr">
        <is>
          <t>RgPETase; RgCut-I</t>
        </is>
      </c>
      <c r="L501" s="5" t="inlineStr">
        <is>
          <t>PET</t>
        </is>
      </c>
      <c r="M501" s="5" t="inlineStr">
        <is>
          <t>EC 3.1.1.1</t>
        </is>
      </c>
      <c r="N501" s="5" t="inlineStr">
        <is>
          <t>Avilan, 2023</t>
        </is>
      </c>
      <c r="O501" s="5" t="inlineStr">
        <is>
          <t>WP_085749238.1</t>
        </is>
      </c>
      <c r="P501" s="5" t="inlineStr">
        <is>
          <t>WP_085749238.1</t>
        </is>
      </c>
      <c r="Q501" s="5" t="inlineStr">
        <is>
          <t>8AIR</t>
        </is>
      </c>
      <c r="R501" s="5" t="inlineStr">
        <is>
          <t>-</t>
        </is>
      </c>
      <c r="S501" s="5" t="inlineStr">
        <is>
          <t>hypothetical protein</t>
        </is>
      </c>
      <c r="T501" s="5" t="inlineStr">
        <is>
          <t>Piscinibacter gummiphilus</t>
        </is>
      </c>
      <c r="U501" s="5">
        <f>FALSE()</f>
        <v/>
      </c>
      <c r="V501" s="5">
        <f>TRUE()</f>
        <v/>
      </c>
      <c r="W501" s="5" t="inlineStr">
        <is>
          <t>MKLNRLFQVACLAATLVTATAASAVQIGPAPTKASLEASRGPFTVATTRLSANGHGGGTIYYPTNAGAKVGVIAIVPGYLSYQSSIEWWGPRLASHGFAVVTIDTLTIYDQPSSRSSQQLRALDQVVALGSKSTSPLYNKVDGSRTGVMGWSMGGGGSLISAQNRPSIKAAAPQAPWNTTSNFSSLTVPTLIFACQADVVAPILSHAVPFYNSMSRNPKQYLERTAGDHFCFNNANPTVGLKGVAWMKRFIDGDTRYTSFACSNPNALGFSSFRTERCS</t>
        </is>
      </c>
      <c r="X501" s="5" t="n">
        <v>1</v>
      </c>
      <c r="Y501" s="5" t="inlineStr">
        <is>
          <t>RgCut-2</t>
        </is>
      </c>
      <c r="Z501" s="5" t="inlineStr">
        <is>
          <t>WP_085749238</t>
        </is>
      </c>
      <c r="AA501" s="5" t="inlineStr">
        <is>
          <t>Direct</t>
        </is>
      </c>
      <c r="AB501" s="5" t="n">
        <v>178</v>
      </c>
      <c r="AC501" s="5" t="inlineStr">
        <is>
          <t>10.1002/cssc.202202277</t>
        </is>
      </c>
      <c r="AD501" s="5" t="inlineStr">
        <is>
          <t>MKLNRLFQVACLAATLVTATAASAVQIGPAPTKASLEASRGPFTVATTRLSANGHGGGTIYYPTNAGAKVGVIAIVPGYLSYQSSIEWWGPRLASHGFAVVTIDTLTIYDQPSSRSSQQLRALDQVVALGSKSTSPLYNKVDGSRTGVMGWSMGGGGSLISAQNRPSIKAAAPQAPWNTTSNFSSLTVPTLIFACQADVVAPILSHAVPFYNSMSRNPKQYLERTAGDHFCFNNANPTVGLKGVAWMKRFIDGDTRYTSFACSNPNALGFSSFRTERCS</t>
        </is>
      </c>
      <c r="AE501" s="5" t="inlineStr">
        <is>
          <t>Piscinibacter gummiphilus</t>
        </is>
      </c>
      <c r="AF501" s="5" t="n">
        <v>946333</v>
      </c>
      <c r="AG501" s="5" t="inlineStr">
        <is>
          <t>supp_unavailable</t>
        </is>
      </c>
      <c r="AH501" s="5" t="inlineStr">
        <is>
          <t>ncbi</t>
        </is>
      </c>
      <c r="AI501" s="5" t="n"/>
      <c r="AJ501" s="5" t="n"/>
      <c r="AK501" s="5" t="n"/>
      <c r="AL501" s="5" t="n">
        <v>1</v>
      </c>
    </row>
    <row r="502" ht="15" customHeight="1" s="12">
      <c r="A502" s="5" t="inlineStr">
        <is>
          <t>both</t>
        </is>
      </c>
      <c r="B502" s="5" t="inlineStr">
        <is>
          <t>MNGLLCIHGFTGSPREIEPLVSFLNNQTNWLIRTPVLPGHGDELKLKGVRYSDWIRHAEEELVKLMEQCDTIYICGFSMGGLIGSWLATQYPVKRMVLLSAAAYYMNPRNFLLEMQNMISECLTNSFRHSTIFQKYKRKFTSTPLKAYLEFRKLVNTIRPIFSKVNVPTLIVQGKMDPIVPLKSAYFLYESINTPEKKLLLLEEANHHICYCQEQQRVFQEIFTFLNEEDTCKKIAMTAN</t>
        </is>
      </c>
      <c r="C502" s="5" t="n">
        <v>135</v>
      </c>
      <c r="D502" s="5" t="inlineStr">
        <is>
          <t>WP_034767800.1</t>
        </is>
      </c>
      <c r="E502" s="5" t="n">
        <v>36</v>
      </c>
      <c r="F502" s="5" t="inlineStr">
        <is>
          <t>Ipet</t>
        </is>
      </c>
      <c r="G502" s="5" t="inlineStr">
        <is>
          <t>Alpha/Beta Hydrolase</t>
        </is>
      </c>
      <c r="H502" s="5" t="inlineStr">
        <is>
          <t>3.40.50.1820</t>
        </is>
      </c>
      <c r="I502" s="5" t="inlineStr">
        <is>
          <t>Bacteria</t>
        </is>
      </c>
      <c r="J502" s="5" t="inlineStr">
        <is>
          <t>Caldibacillus thermoamylovorans</t>
        </is>
      </c>
      <c r="K502" s="5" t="inlineStr">
        <is>
          <t>Ces19_14</t>
        </is>
      </c>
      <c r="L502" s="5" t="inlineStr">
        <is>
          <t>PET</t>
        </is>
      </c>
      <c r="M502" s="5" t="inlineStr">
        <is>
          <t>EC 3.1.1.1</t>
        </is>
      </c>
      <c r="N502" s="5" t="inlineStr">
        <is>
          <t>Yan, 2024</t>
        </is>
      </c>
      <c r="O502" s="5" t="inlineStr">
        <is>
          <t>WP_034767800.1</t>
        </is>
      </c>
      <c r="P502" s="5" t="inlineStr">
        <is>
          <t>WP_034767800.1</t>
        </is>
      </c>
      <c r="Q502" s="5" t="inlineStr">
        <is>
          <t>-</t>
        </is>
      </c>
      <c r="R502" s="5" t="inlineStr">
        <is>
          <t>A0A090IVG8</t>
        </is>
      </c>
      <c r="S502" s="5" t="inlineStr">
        <is>
          <t>carboxylesterase</t>
        </is>
      </c>
      <c r="T502" s="5" t="inlineStr">
        <is>
          <t>Bacillaceae</t>
        </is>
      </c>
      <c r="U502" s="5">
        <f>FALSE()</f>
        <v/>
      </c>
      <c r="V502" s="5">
        <f>TRUE()</f>
        <v/>
      </c>
      <c r="W502" s="5" t="inlineStr">
        <is>
          <t>MNGLLCIHGFTGSPREIEPLVSFLNNQTNWLIRTPVLPGHGDELKLKGVRYSDWIRHAEEELVKLMEQCDTIYICGFSMGGLIGSWLATQYPVKRMVLLSAAAYYMNPRNFLLEMQNMISECLTNSFRHSTIFQKYKRKFTSTPLKAYLEFRKLVNTIRPIFSKVNVPTLIVQGKMDPIVPLKSAYFLYESINTPEKKLLLLEEANHHICYCQEQQRVFQEIFTFLNEEDTCKKIAMTAN</t>
        </is>
      </c>
      <c r="X502" s="5" t="n">
        <v>1</v>
      </c>
      <c r="Y502" s="5" t="inlineStr">
        <is>
          <t>Ces19_14</t>
        </is>
      </c>
      <c r="Z502" s="5" t="inlineStr">
        <is>
          <t>WP_034767800</t>
        </is>
      </c>
      <c r="AA502" s="5" t="inlineStr">
        <is>
          <t>Direct</t>
        </is>
      </c>
      <c r="AB502" s="5" t="n">
        <v>213</v>
      </c>
      <c r="AC502" s="5" t="inlineStr">
        <is>
          <t>10.1016/j.ijbiomac.2024.129538</t>
        </is>
      </c>
      <c r="AD502" s="5" t="inlineStr">
        <is>
          <t>MNGLLCIHGFTGSPREIEPLVSFLNNQTNWLIRTPVLPGHGDELKLKGVRYSDWIRHAEEELVKLMEQCDTIYICGFSMGGLIGSWLATQYPVKRMVLLSAAAYYMNPRNFLLEMQNMISECLTNSFRHSTIFQKYKRKFTSTPLKAYLEFRKLVNTIRPIFSKVNVPTLIVQGKMDPIVPLKSAYFLYESINTPEKKLLLLEEANHHICYCQEQQRVFQEIFTFLNEEDTCKKIAMTAN</t>
        </is>
      </c>
      <c r="AE502" s="5" t="inlineStr">
        <is>
          <t>Caldibacillus thermoamylovorans</t>
        </is>
      </c>
      <c r="AF502" s="5" t="n">
        <v>35841</v>
      </c>
      <c r="AG502" s="5" t="inlineStr">
        <is>
          <t>supp_unavailable</t>
        </is>
      </c>
      <c r="AH502" s="5" t="inlineStr">
        <is>
          <t>ncbi</t>
        </is>
      </c>
      <c r="AI502" s="5" t="n"/>
      <c r="AJ502" s="5" t="n"/>
      <c r="AK502" s="5" t="n"/>
      <c r="AL502" s="5" t="n">
        <v>1</v>
      </c>
    </row>
    <row r="503" ht="15.75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</row>
    <row r="504" ht="15.75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</row>
    <row r="505" ht="15.75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</row>
    <row r="506" ht="15.75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</row>
    <row r="507" ht="15.75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</row>
    <row r="508" ht="15.75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</row>
    <row r="509" ht="15.75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</row>
    <row r="510" ht="15.75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</row>
    <row r="511" ht="15.75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</row>
    <row r="512" ht="15.75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</row>
    <row r="513" ht="15.75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</row>
    <row r="514" ht="15.75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</row>
    <row r="515" ht="15.75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</row>
    <row r="516" ht="15.75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</row>
    <row r="517" ht="15.75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</row>
    <row r="518" ht="15.75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</row>
    <row r="519" ht="15.75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</row>
    <row r="520" ht="15.75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</row>
    <row r="521" ht="15.75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</row>
    <row r="522" ht="15.75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</row>
    <row r="523" ht="15.75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</row>
    <row r="524" ht="15.75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</row>
    <row r="525" ht="15.75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</row>
    <row r="526" ht="15.75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</row>
    <row r="527" ht="15.75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</row>
    <row r="528" ht="15.75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</row>
    <row r="529" ht="15.75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</row>
    <row r="530" ht="15.75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</row>
    <row r="531" ht="15.75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</row>
    <row r="532" ht="15.75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</row>
    <row r="533" ht="15.75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</row>
    <row r="534" ht="15.75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</row>
    <row r="535" ht="15.75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</row>
    <row r="536" ht="15.75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</row>
    <row r="537" ht="15.75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</row>
    <row r="538" ht="15.75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</row>
    <row r="539" ht="15.75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</row>
    <row r="540" ht="15.75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</row>
    <row r="541" ht="15.75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</row>
    <row r="542" ht="15.75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</row>
    <row r="543" ht="15.75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</row>
    <row r="544" ht="15.75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</row>
    <row r="545" ht="15.75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</row>
    <row r="546" ht="15.75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</row>
    <row r="547" ht="15.75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</row>
    <row r="548" ht="15.75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</row>
    <row r="549" ht="15.75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</row>
    <row r="550" ht="15.75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</row>
    <row r="551" ht="15.75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</row>
    <row r="552" ht="15.75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</row>
    <row r="553" ht="15.75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</row>
    <row r="554" ht="15.75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</row>
    <row r="555" ht="15.75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</row>
    <row r="556" ht="15.75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</row>
    <row r="557" ht="15.75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</row>
    <row r="558" ht="15.75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</row>
    <row r="559" ht="15.75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</row>
    <row r="560" ht="15.75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</row>
    <row r="561" ht="15.75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</row>
    <row r="562" ht="15.75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</row>
    <row r="563" ht="15.75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</row>
    <row r="564" ht="15.75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</row>
    <row r="565" ht="15.75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</row>
    <row r="566" ht="15.75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</row>
    <row r="567" ht="15.75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</row>
    <row r="568" ht="15.75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</row>
    <row r="569" ht="15.75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</row>
    <row r="570" ht="15.75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</row>
    <row r="571" ht="15.75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</row>
    <row r="572" ht="15.75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</row>
    <row r="573" ht="15.75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</row>
    <row r="574" ht="15.75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</row>
    <row r="575" ht="15.75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</row>
    <row r="576" ht="15.75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</row>
    <row r="577" ht="15.75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</row>
    <row r="578" ht="15.75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</row>
    <row r="579" ht="15.75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</row>
    <row r="580" ht="15.75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</row>
    <row r="581" ht="15.75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</row>
    <row r="582" ht="15.75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</row>
    <row r="583" ht="15.75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</row>
    <row r="584" ht="15.75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</row>
    <row r="585" ht="15.75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</row>
    <row r="586" ht="15.75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</row>
    <row r="587" ht="15.75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</row>
    <row r="588" ht="15.75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</row>
    <row r="589" ht="15.75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</row>
    <row r="590" ht="15.75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</row>
    <row r="591" ht="15.75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</row>
    <row r="592" ht="15.75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</row>
    <row r="593" ht="15.75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</row>
    <row r="594" ht="15.75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</row>
    <row r="595" ht="15.75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</row>
    <row r="596" ht="15.75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</row>
    <row r="597" ht="15.75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</row>
    <row r="598" ht="15.75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</row>
    <row r="599" ht="15.75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</row>
    <row r="600" ht="15.75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</row>
    <row r="601" ht="15.75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</row>
    <row r="602" ht="15.75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</row>
    <row r="603" ht="15.75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</row>
    <row r="604" ht="15.75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</row>
    <row r="605" ht="15.75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</row>
    <row r="606" ht="15.75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</row>
    <row r="607" ht="15.75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</row>
    <row r="608" ht="15.75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</row>
    <row r="609" ht="15.75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</row>
    <row r="610" ht="15.75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</row>
    <row r="611" ht="15.75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</row>
    <row r="612" ht="15.75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</row>
    <row r="613" ht="15.75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</row>
    <row r="614" ht="15.75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</row>
    <row r="615" ht="15.75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</row>
    <row r="616" ht="15.75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</row>
    <row r="617" ht="15.75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</row>
    <row r="618" ht="15.75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</row>
    <row r="619" ht="15.75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</row>
    <row r="620" ht="15.75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</row>
    <row r="621" ht="15.75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</row>
    <row r="622" ht="15.75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</row>
    <row r="623" ht="15.75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</row>
    <row r="624" ht="15.75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</row>
    <row r="625" ht="15.75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</row>
    <row r="626" ht="15.75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</row>
    <row r="627" ht="15.75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</row>
    <row r="628" ht="15.75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</row>
    <row r="629" ht="15.75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</row>
    <row r="630" ht="15.75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</row>
    <row r="631" ht="15.75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</row>
    <row r="632" ht="15.75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</row>
    <row r="633" ht="15.75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</row>
    <row r="634" ht="15.75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</row>
    <row r="635" ht="15.75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</row>
    <row r="636" ht="15.75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</row>
    <row r="637" ht="15.75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</row>
    <row r="638" ht="15.75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</row>
    <row r="639" ht="15.75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</row>
    <row r="640" ht="15.75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</row>
    <row r="641" ht="15.75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</row>
    <row r="642" ht="15.75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</row>
    <row r="643" ht="15.75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</row>
    <row r="644" ht="15.75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</row>
    <row r="645" ht="15.75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</row>
    <row r="646" ht="15.75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</row>
    <row r="647" ht="15.75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</row>
    <row r="648" ht="15.75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</row>
    <row r="649" ht="15.75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</row>
    <row r="650" ht="15.75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</row>
    <row r="651" ht="15.75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</row>
    <row r="652" ht="15.75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</row>
    <row r="653" ht="15.75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</row>
    <row r="654" ht="15.75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</row>
    <row r="655" ht="15.75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</row>
    <row r="656" ht="15.75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</row>
    <row r="657" ht="15.75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</row>
    <row r="658" ht="15.75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</row>
    <row r="659" ht="15.75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</row>
    <row r="660" ht="15.75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</row>
    <row r="661" ht="15.75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</row>
    <row r="662" ht="15.75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</row>
    <row r="663" ht="15.75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</row>
    <row r="664" ht="15.75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</row>
    <row r="665" ht="15.75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</row>
    <row r="666" ht="15.75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</row>
    <row r="667" ht="15.75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</row>
    <row r="668" ht="15.75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</row>
    <row r="669" ht="15.75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</row>
    <row r="670" ht="15.75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</row>
    <row r="671" ht="15.75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</row>
    <row r="672" ht="15.75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</row>
    <row r="673" ht="15.75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</row>
    <row r="674" ht="15.75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</row>
    <row r="675" ht="15.75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</row>
    <row r="676" ht="15.75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</row>
    <row r="677" ht="15.75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</row>
    <row r="678" ht="15.75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</row>
    <row r="679" ht="15.75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</row>
    <row r="680" ht="15.75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</row>
    <row r="681" ht="15.75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</row>
    <row r="682" ht="15.75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</row>
    <row r="683" ht="15.75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</row>
    <row r="684" ht="15.75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</row>
    <row r="685" ht="15.75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</row>
    <row r="686" ht="15.75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</row>
    <row r="687" ht="15.75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</row>
    <row r="688" ht="15.75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</row>
    <row r="689" ht="15.75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</row>
    <row r="690" ht="15.75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</row>
    <row r="691" ht="15.75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</row>
    <row r="692" ht="15.75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</row>
    <row r="693" ht="15.75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</row>
    <row r="694" ht="15.75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</row>
    <row r="695" ht="15.75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</row>
    <row r="696" ht="15.75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</row>
    <row r="697" ht="15.75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</row>
    <row r="698" ht="15.75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</row>
    <row r="699" ht="15.75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</row>
    <row r="700" ht="15.75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</row>
    <row r="701" ht="15.75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</row>
    <row r="702" ht="15.75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</row>
    <row r="703" ht="15.75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</row>
    <row r="704" ht="15.75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</row>
    <row r="705" ht="15.75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</row>
    <row r="706" ht="15.75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</row>
    <row r="707" ht="15.75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</row>
    <row r="708" ht="15.75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</row>
    <row r="709" ht="15.75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</row>
    <row r="710" ht="15.75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</row>
    <row r="711" ht="15.75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</row>
    <row r="712" ht="15.75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</row>
    <row r="713" ht="15.75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</row>
    <row r="714" ht="15.75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</row>
    <row r="715" ht="15.75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</row>
    <row r="716" ht="15.75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</row>
    <row r="717" ht="15.75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</row>
    <row r="718" ht="15.75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</row>
    <row r="719" ht="15.75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</row>
    <row r="720" ht="15.75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</row>
    <row r="721" ht="15.75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</row>
    <row r="722" ht="15.75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</row>
    <row r="723" ht="15.75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</row>
    <row r="724" ht="15.75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</row>
    <row r="725" ht="15.75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</row>
    <row r="726" ht="15.75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</row>
    <row r="727" ht="15.75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</row>
    <row r="728" ht="15.75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</row>
    <row r="729" ht="15.75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</row>
    <row r="730" ht="15.75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</row>
    <row r="731" ht="15.75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</row>
    <row r="732" ht="15.75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</row>
    <row r="733" ht="15.75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</row>
    <row r="734" ht="15.75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</row>
    <row r="735" ht="15.75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</row>
    <row r="736" ht="15.75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</row>
    <row r="737" ht="15.75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</row>
    <row r="738" ht="15.75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</row>
    <row r="739" ht="15.75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</row>
    <row r="740" ht="15.75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</row>
    <row r="741" ht="15.75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</row>
    <row r="742" ht="15.75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</row>
    <row r="743" ht="15.75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</row>
    <row r="744" ht="15.75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</row>
    <row r="745" ht="15.75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</row>
    <row r="746" ht="15.75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</row>
    <row r="747" ht="15.75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</row>
    <row r="748" ht="15.75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</row>
    <row r="749" ht="15.75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</row>
    <row r="750" ht="15.75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</row>
    <row r="751" ht="15.75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</row>
    <row r="752" ht="15.75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</row>
    <row r="753" ht="15.75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</row>
    <row r="754" ht="15.75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</row>
    <row r="755" ht="15.75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</row>
    <row r="756" ht="15.75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</row>
    <row r="757" ht="15.75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</row>
    <row r="758" ht="15.75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</row>
    <row r="759" ht="15.75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</row>
    <row r="760" ht="15.75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</row>
    <row r="761" ht="15.75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</row>
    <row r="762" ht="15.75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</row>
    <row r="763" ht="15.75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</row>
    <row r="764" ht="15.75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</row>
    <row r="765" ht="15.75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</row>
    <row r="766" ht="15.75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</row>
    <row r="767" ht="15.75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</row>
    <row r="768" ht="15.75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</row>
    <row r="769" ht="15.75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</row>
    <row r="770" ht="15.75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</row>
    <row r="771" ht="15.75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</row>
    <row r="772" ht="15.75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</row>
    <row r="773" ht="15.75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</row>
    <row r="774" ht="15.75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</row>
    <row r="775" ht="15.75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</row>
    <row r="776" ht="15.75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</row>
    <row r="777" ht="15.75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</row>
    <row r="778" ht="15.75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</row>
    <row r="779" ht="15.75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</row>
    <row r="780" ht="15.75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</row>
    <row r="781" ht="15.75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</row>
    <row r="782" ht="15.75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</row>
    <row r="783" ht="15.75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</row>
    <row r="784" ht="15.75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</row>
    <row r="785" ht="15.75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</row>
    <row r="786" ht="15.75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</row>
    <row r="787" ht="15.75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</row>
    <row r="788" ht="15.75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</row>
    <row r="789" ht="15.75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</row>
    <row r="790" ht="15.75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</row>
    <row r="791" ht="15.75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</row>
    <row r="792" ht="15.75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</row>
    <row r="793" ht="15.75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</row>
    <row r="794" ht="15.75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</row>
    <row r="795" ht="15.75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</row>
    <row r="796" ht="15.75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</row>
    <row r="797" ht="15.75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</row>
    <row r="798" ht="15.75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</row>
    <row r="799" ht="15.75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</row>
    <row r="800" ht="15.75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</row>
    <row r="801" ht="15.75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</row>
    <row r="802" ht="15.75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</row>
    <row r="803" ht="15.75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</row>
    <row r="804" ht="15.75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</row>
    <row r="805" ht="15.75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</row>
    <row r="806" ht="15.75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</row>
    <row r="807" ht="15.75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</row>
    <row r="808" ht="15.75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</row>
    <row r="809" ht="15.75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</row>
    <row r="810" ht="15.75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</row>
    <row r="811" ht="15.75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</row>
    <row r="812" ht="15.75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</row>
    <row r="813" ht="15.75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</row>
    <row r="814" ht="15.75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</row>
    <row r="815" ht="15.75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</row>
    <row r="816" ht="15.75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</row>
    <row r="817" ht="15.75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</row>
    <row r="818" ht="15.75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</row>
    <row r="819" ht="15.75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</row>
    <row r="820" ht="15.75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</row>
    <row r="821" ht="15.75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</row>
    <row r="822" ht="15.75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</row>
    <row r="823" ht="15.75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</row>
    <row r="824" ht="15.75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</row>
    <row r="825" ht="15.75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</row>
    <row r="826" ht="15.75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</row>
    <row r="827" ht="15.75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</row>
    <row r="828" ht="15.75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</row>
    <row r="829" ht="15.75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</row>
    <row r="830" ht="15.75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</row>
    <row r="831" ht="15.75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</row>
    <row r="832" ht="15.75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</row>
    <row r="833" ht="15.75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</row>
    <row r="834" ht="15.75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</row>
    <row r="835" ht="15.75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</row>
    <row r="836" ht="15.75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</row>
    <row r="837" ht="15.75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</row>
    <row r="838" ht="15.75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</row>
    <row r="839" ht="15.75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</row>
    <row r="840" ht="15.75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</row>
    <row r="841" ht="15.75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</row>
    <row r="842" ht="15.75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</row>
    <row r="843" ht="15.75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</row>
    <row r="844" ht="15.75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</row>
    <row r="845" ht="15.75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</row>
    <row r="846" ht="15.75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</row>
    <row r="847" ht="15.75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</row>
    <row r="848" ht="15.75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</row>
    <row r="849" ht="15.75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</row>
    <row r="850" ht="15.75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</row>
    <row r="851" ht="15.75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</row>
    <row r="852" ht="15.75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</row>
    <row r="853" ht="15.75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</row>
    <row r="854" ht="15.75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</row>
    <row r="855" ht="15.75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</row>
    <row r="856" ht="15.75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</row>
    <row r="857" ht="15.75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</row>
    <row r="858" ht="15.75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</row>
    <row r="859" ht="15.75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</row>
    <row r="860" ht="15.75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</row>
    <row r="861" ht="15.75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</row>
    <row r="862" ht="15.75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</row>
    <row r="863" ht="15.75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</row>
    <row r="864" ht="15.75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</row>
    <row r="865" ht="15.75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</row>
    <row r="866" ht="15.75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</row>
    <row r="867" ht="15.75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</row>
    <row r="868" ht="15.75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</row>
    <row r="869" ht="15.75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</row>
    <row r="870" ht="15.75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</row>
    <row r="871" ht="15.75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</row>
    <row r="872" ht="15.75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</row>
    <row r="873" ht="15.75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</row>
    <row r="874" ht="15.75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</row>
    <row r="875" ht="15.75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</row>
    <row r="876" ht="15.75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</row>
    <row r="877" ht="15.75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</row>
    <row r="878" ht="15.75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</row>
    <row r="879" ht="15.75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</row>
    <row r="880" ht="15.75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</row>
    <row r="881" ht="15.75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</row>
    <row r="882" ht="15.75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</row>
    <row r="883" ht="15.75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</row>
    <row r="884" ht="15.75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</row>
    <row r="885" ht="15.75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</row>
    <row r="886" ht="15.75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</row>
    <row r="887" ht="15.75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</row>
    <row r="888" ht="15.75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</row>
    <row r="889" ht="15.75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</row>
    <row r="890" ht="15.75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</row>
    <row r="891" ht="15.75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</row>
    <row r="892" ht="15.75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</row>
    <row r="893" ht="15.75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</row>
    <row r="894" ht="15.75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</row>
    <row r="895" ht="15.75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</row>
    <row r="896" ht="15.75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</row>
    <row r="897" ht="15.75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</row>
    <row r="898" ht="15.75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</row>
    <row r="899" ht="15.75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</row>
    <row r="900" ht="15.75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</row>
    <row r="901" ht="15.75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</row>
    <row r="902" ht="15.75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</row>
    <row r="903" ht="15.75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</row>
    <row r="904" ht="15.75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</row>
    <row r="905" ht="15.75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</row>
    <row r="906" ht="15.75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</row>
    <row r="907" ht="15.75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</row>
    <row r="908" ht="15.75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</row>
    <row r="909" ht="15.75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</row>
    <row r="910" ht="15.75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</row>
    <row r="911" ht="15.75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</row>
    <row r="912" ht="15.75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</row>
    <row r="913" ht="15.75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</row>
    <row r="914" ht="15.75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</row>
    <row r="915" ht="15.75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</row>
    <row r="916" ht="15.75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</row>
    <row r="917" ht="15.75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</row>
    <row r="918" ht="15.75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</row>
    <row r="919" ht="15.75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</row>
    <row r="920" ht="15.75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</row>
    <row r="921" ht="15.75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</row>
    <row r="922" ht="15.75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</row>
    <row r="923" ht="15.75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</row>
    <row r="924" ht="15.75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</row>
    <row r="925" ht="15.75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</row>
    <row r="926" ht="15.75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</row>
    <row r="927" ht="15.75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</row>
    <row r="928" ht="15.75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</row>
    <row r="929" ht="15.75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</row>
    <row r="930" ht="15.75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</row>
    <row r="931" ht="15.75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</row>
    <row r="932" ht="15.75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</row>
    <row r="933" ht="15.75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</row>
    <row r="934" ht="15.75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</row>
    <row r="935" ht="15.75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</row>
    <row r="936" ht="15.75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</row>
    <row r="937" ht="15.75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</row>
    <row r="938" ht="15.75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</row>
    <row r="939" ht="15.75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</row>
    <row r="940" ht="15.75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</row>
    <row r="941" ht="15.75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</row>
    <row r="942" ht="15.75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</row>
    <row r="943" ht="15.75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</row>
    <row r="944" ht="15.75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</row>
    <row r="945" ht="15.75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</row>
    <row r="946" ht="15.75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</row>
    <row r="947" ht="15.75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</row>
    <row r="948" ht="15.75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</row>
    <row r="949" ht="15.75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</row>
    <row r="950" ht="15.75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</row>
    <row r="951" ht="15.75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</row>
    <row r="952" ht="15.75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</row>
    <row r="953" ht="15.75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</row>
    <row r="954" ht="15.75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</row>
    <row r="955" ht="15.75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</row>
    <row r="956" ht="15.75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</row>
    <row r="957" ht="15.75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</row>
    <row r="958" ht="15.75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</row>
    <row r="959" ht="15.75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</row>
    <row r="960" ht="15.75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</row>
    <row r="961" ht="15.75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</row>
    <row r="962" ht="15.75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</row>
    <row r="963" ht="15.75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</row>
    <row r="964" ht="15.75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</row>
    <row r="965" ht="15.75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</row>
    <row r="966" ht="15.75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</row>
    <row r="967" ht="15.75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</row>
    <row r="968" ht="15.75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</row>
    <row r="969" ht="15.75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</row>
    <row r="970" ht="15.75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</row>
    <row r="971" ht="15.75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</row>
    <row r="972" ht="15.75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</row>
    <row r="973" ht="15.75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</row>
    <row r="974" ht="15.75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</row>
    <row r="975" ht="15.75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</row>
    <row r="976" ht="15.75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</row>
    <row r="977" ht="15.75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</row>
    <row r="978" ht="15.75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</row>
    <row r="979" ht="15.75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</row>
    <row r="980" ht="15.75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</row>
    <row r="981" ht="15.75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</row>
    <row r="982" ht="15.75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</row>
    <row r="983" ht="15.75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</row>
    <row r="984" ht="15.75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</row>
    <row r="985" ht="15.75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</row>
    <row r="986" ht="15.75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</row>
    <row r="987" ht="15.75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</row>
    <row r="988" ht="15.75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</row>
    <row r="989" ht="15.75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</row>
    <row r="990" ht="15.75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</row>
    <row r="991" ht="15.75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</row>
    <row r="992" ht="15.75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</row>
    <row r="993" ht="15.75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</row>
    <row r="994" ht="15.75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</row>
    <row r="995" ht="15.75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</row>
    <row r="996" ht="15.75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</row>
    <row r="997" ht="15.75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</row>
    <row r="998" ht="15.75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</row>
    <row r="999" ht="15.75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</row>
    <row r="1000" ht="15.75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</row>
  </sheetData>
  <autoFilter ref="$A$1:$AL$1"/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12" min="1" max="1"/>
    <col width="10" customWidth="1" style="12" min="2" max="2"/>
    <col width="22" customWidth="1" style="12" min="3" max="3"/>
    <col width="26" customWidth="1" style="12" min="4" max="4"/>
    <col width="18" customWidth="1" style="12" min="5" max="5"/>
    <col width="10" customWidth="1" style="12" min="6" max="6"/>
    <col width="9" customWidth="1" style="12" min="7" max="7"/>
    <col width="13" customWidth="1" style="12" min="8" max="8"/>
    <col width="60" customWidth="1" style="12" min="9" max="9"/>
    <col width="30" customWidth="1" style="12" min="10" max="10"/>
    <col width="13" customWidth="1" style="12" min="11" max="11"/>
  </cols>
  <sheetData>
    <row r="1">
      <c r="A1" s="13" t="inlineStr">
        <is>
          <t>group</t>
        </is>
      </c>
      <c r="B1" s="13" t="inlineStr">
        <is>
          <t>role</t>
        </is>
      </c>
      <c r="C1" s="13" t="inlineStr">
        <is>
          <t>enzyme_name</t>
        </is>
      </c>
      <c r="D1" s="13" t="inlineStr">
        <is>
          <t>accessions</t>
        </is>
      </c>
      <c r="E1" s="13" t="inlineStr">
        <is>
          <t>source</t>
        </is>
      </c>
      <c r="F1" s="13" t="inlineStr">
        <is>
          <t>length_aa</t>
        </is>
      </c>
      <c r="G1" s="13" t="inlineStr">
        <is>
          <t>delta_aa</t>
        </is>
      </c>
      <c r="H1" s="13" t="inlineStr">
        <is>
          <t>core_position</t>
        </is>
      </c>
      <c r="I1" s="13" t="inlineStr">
        <is>
          <t>aa_sequence</t>
        </is>
      </c>
      <c r="J1" s="13" t="inlineStr">
        <is>
          <t>change_or_comment</t>
        </is>
      </c>
      <c r="K1" s="13" t="inlineStr">
        <is>
          <t>most_wildtype</t>
        </is>
      </c>
    </row>
    <row r="2">
      <c r="A2" s="14" t="n">
        <v>1</v>
      </c>
      <c r="B2" s="14" t="inlineStr">
        <is>
          <t>core</t>
        </is>
      </c>
      <c r="C2" s="14" t="inlineStr">
        <is>
          <t>TfH</t>
        </is>
      </c>
      <c r="D2" s="14" t="inlineStr">
        <is>
          <t>5ZOA_A</t>
        </is>
      </c>
      <c r="E2" s="14" t="inlineStr">
        <is>
          <t>retrieving_only</t>
        </is>
      </c>
      <c r="F2" s="14" t="n">
        <v>261</v>
      </c>
      <c r="G2" s="14" t="n">
        <v>0</v>
      </c>
      <c r="H2" s="14" t="inlineStr"/>
      <c r="I2" s="14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J2" s="15" t="inlineStr"/>
      <c r="K2" s="15" t="inlineStr"/>
    </row>
    <row r="3">
      <c r="A3" s="16" t="n">
        <v>1</v>
      </c>
      <c r="B3" s="16" t="inlineStr">
        <is>
          <t>superset</t>
        </is>
      </c>
      <c r="C3" s="16" t="inlineStr">
        <is>
          <t>-;Thc_cut1;Thc_Cut1</t>
        </is>
      </c>
      <c r="D3" s="16" t="inlineStr">
        <is>
          <t>ADV92526.1;E9LVH8;5LUI;-</t>
        </is>
      </c>
      <c r="E3" s="16" t="inlineStr">
        <is>
          <t>both</t>
        </is>
      </c>
      <c r="F3" s="16" t="n">
        <v>262</v>
      </c>
      <c r="G3" s="16" t="n">
        <v>1</v>
      </c>
      <c r="H3" s="16" t="inlineStr">
        <is>
          <t>suffix</t>
        </is>
      </c>
      <c r="I3" s="16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J3" s="15" t="inlineStr"/>
      <c r="K3" s="15" t="inlineStr"/>
    </row>
    <row r="4">
      <c r="A4" s="16" t="n">
        <v>1</v>
      </c>
      <c r="B4" s="16" t="inlineStr">
        <is>
          <t>superset</t>
        </is>
      </c>
      <c r="C4" s="16" t="inlineStr">
        <is>
          <t>Cut2;WSH03-11;Tfu_0883;BTA-1;TfH</t>
        </is>
      </c>
      <c r="D4" s="16" t="inlineStr">
        <is>
          <t>JN129500.1;Q47RJ6_THEFY;Q6A0I4;-;5ZOA;CAH17553.1;AET05799.1;WP_011291330.1</t>
        </is>
      </c>
      <c r="E4" s="16" t="inlineStr">
        <is>
          <t>both</t>
        </is>
      </c>
      <c r="F4" s="16" t="n">
        <v>301</v>
      </c>
      <c r="G4" s="16" t="n">
        <v>40</v>
      </c>
      <c r="H4" s="16" t="inlineStr">
        <is>
          <t>suffix</t>
        </is>
      </c>
      <c r="I4" s="16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J4" s="15" t="inlineStr"/>
      <c r="K4" s="15" t="inlineStr"/>
    </row>
    <row r="5">
      <c r="A5" s="14" t="n">
        <v>2</v>
      </c>
      <c r="B5" s="14" t="inlineStr">
        <is>
          <t>core</t>
        </is>
      </c>
      <c r="C5" s="14" t="inlineStr">
        <is>
          <t>PHL-7;PES-H1;PES-H2</t>
        </is>
      </c>
      <c r="D5" s="14" t="inlineStr">
        <is>
          <t>7NEI_A/B;7CUV_A;MBO2503201.1;SAY37592.1;-;7NEI</t>
        </is>
      </c>
      <c r="E5" s="14" t="inlineStr">
        <is>
          <t>plasticome.v1_only</t>
        </is>
      </c>
      <c r="F5" s="14" t="n">
        <v>259</v>
      </c>
      <c r="G5" s="14" t="n">
        <v>0</v>
      </c>
      <c r="H5" s="14" t="inlineStr"/>
      <c r="I5" s="14" t="inlineStr">
        <is>
          <t>MANPYERGPDPTESSIEAVRGPFAVAQTTVSRLQADGFGGGTIYYPTDTSQGTFGAVAISPGFTAGQESIAWLGPRIASQGFVVITIDTITRLDQPDSRGRQLQAALDHLRTNSVVRNRIDPNRMAVMGHSMGGGGALSAAANNTSLEAAIPLQGWHTRKNWSSVRTPTLVVGAQLDTIAPVSSHSEAFYNSLPSDLDKAYMELRGASHLVSNTPDTTTAKYSIAWLKRFVDDDLRYEQFLCPAPDDFAISEYRSTCPF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  <c r="J5" s="15" t="inlineStr"/>
      <c r="K5" s="15" t="inlineStr"/>
    </row>
    <row r="6">
      <c r="A6" s="16" t="n">
        <v>2</v>
      </c>
      <c r="B6" s="16" t="inlineStr">
        <is>
          <t>superset</t>
        </is>
      </c>
      <c r="C6" s="16" t="inlineStr">
        <is>
          <t>PHL-7</t>
        </is>
      </c>
      <c r="D6" s="16" t="inlineStr">
        <is>
          <t>7NEI</t>
        </is>
      </c>
      <c r="E6" s="16" t="inlineStr">
        <is>
          <t>retrieving_only</t>
        </is>
      </c>
      <c r="F6" s="16" t="n">
        <v>267</v>
      </c>
      <c r="G6" s="16" t="n">
        <v>8</v>
      </c>
      <c r="H6" s="16" t="inlineStr">
        <is>
          <t>prefix</t>
        </is>
      </c>
      <c r="I6" s="16" t="inlineStr">
        <is>
          <t>MANPYERGPDPTESSIEAVRGPFAVAQTTVSRLQADGFGGGTIYYPTDTSQGTFGAVAISPGFTAGQESIAWLGPRIASQGFVVITIDTITRLDQPDSRGRQLQAALDHLRTNSVVRNRIDPNRMAVMGHSMGGGGALSAAANNTSLEAAIPLQGWHTRKNWSSVRTPTLVVGAQLDTIAPVSSHSEAFYNSLPSDLDKAYMELRGASHLVSNTPDTTTAKYSIAWLKRFVDDDLRYEQFLCPAPDDFAISEYRSTCPFLEHHHHHH</t>
        </is>
      </c>
      <c r="J6" s="15" t="inlineStr"/>
      <c r="K6" s="15" t="inlineStr"/>
    </row>
    <row r="7">
      <c r="A7" s="14" t="n">
        <v>3</v>
      </c>
      <c r="B7" s="14" t="inlineStr">
        <is>
          <t>core</t>
        </is>
      </c>
      <c r="C7" s="14" t="inlineStr">
        <is>
          <t>Enzyme 409</t>
        </is>
      </c>
      <c r="D7" s="14" t="inlineStr">
        <is>
          <t>WP_101893509.1;-</t>
        </is>
      </c>
      <c r="E7" s="14" t="inlineStr">
        <is>
          <t>plasticome.v1_only</t>
        </is>
      </c>
      <c r="F7" s="14" t="n">
        <v>283</v>
      </c>
      <c r="G7" s="14" t="n">
        <v>0</v>
      </c>
      <c r="H7" s="14" t="inlineStr"/>
      <c r="I7" s="14" t="inlineStr">
        <is>
          <t>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  <c r="J7" s="15" t="inlineStr"/>
      <c r="K7" s="15" t="inlineStr"/>
    </row>
    <row r="8">
      <c r="A8" s="16" t="n">
        <v>3</v>
      </c>
      <c r="B8" s="16" t="inlineStr">
        <is>
          <t>superset</t>
        </is>
      </c>
      <c r="C8" s="16" t="inlineStr">
        <is>
          <t>412</t>
        </is>
      </c>
      <c r="D8" s="16" t="inlineStr">
        <is>
          <t>WP_158643351.1</t>
        </is>
      </c>
      <c r="E8" s="16" t="inlineStr">
        <is>
          <t>retrieving_only</t>
        </is>
      </c>
      <c r="F8" s="16" t="n">
        <v>311</v>
      </c>
      <c r="G8" s="16" t="n">
        <v>28</v>
      </c>
      <c r="H8" s="16" t="inlineStr">
        <is>
          <t>suffix</t>
        </is>
      </c>
      <c r="I8" s="16" t="inlineStr">
        <is>
          <t>MRKYPTSSRWIAALSFAAMGLFSTQLLA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  <c r="J8" s="15" t="inlineStr"/>
      <c r="K8" s="15" t="inlineStr"/>
    </row>
    <row r="9">
      <c r="A9" s="14" t="n">
        <v>4</v>
      </c>
      <c r="B9" s="14" t="inlineStr">
        <is>
          <t>core</t>
        </is>
      </c>
      <c r="C9" s="14" t="inlineStr">
        <is>
          <t>607-Nsp</t>
        </is>
      </c>
      <c r="D9" s="14" t="inlineStr">
        <is>
          <t>KPI31299.1</t>
        </is>
      </c>
      <c r="E9" s="14" t="inlineStr">
        <is>
          <t>retrieving_only</t>
        </is>
      </c>
      <c r="F9" s="14" t="n">
        <v>306</v>
      </c>
      <c r="G9" s="14" t="n">
        <v>0</v>
      </c>
      <c r="H9" s="14" t="inlineStr"/>
      <c r="I9" s="14" t="inlineStr">
        <is>
          <t>MRTGAAHHASTGSPHRRSGQLARLATAVAAVVGLTTLSGPGAQAADNPYERGPAPTTASIEAARGPYAVSQTTVSSLAVTGFGGGTIYYPTSTGDGTFGAIAVSPGYTATQSSIAWLGPRLASQGFVVFTIDTLTTLDQPDSRGRQLLAALDHLTQVSSVRTRVDGSRLGVMGHSMGGGGSLEAAKARPSLQAAIPLTPWNLDKSWPEVGTPTLIVGADGDTVAPVASHAEPFYSSLPSSLDRAYLELNNATHFTPNSSNTTIAKYGISWLKRFVDNDTRYEQFLCPLPQPSTTIDEYRGNCPHTS</t>
        </is>
      </c>
      <c r="J9" s="15" t="inlineStr"/>
      <c r="K9" s="15" t="inlineStr"/>
    </row>
    <row r="10">
      <c r="A10" s="16" t="n">
        <v>4</v>
      </c>
      <c r="B10" s="16" t="inlineStr">
        <is>
          <t>superset</t>
        </is>
      </c>
      <c r="C10" s="16" t="inlineStr">
        <is>
          <t>Enzyme 607</t>
        </is>
      </c>
      <c r="D10" s="16" t="inlineStr">
        <is>
          <t>WP_107095481.1;-</t>
        </is>
      </c>
      <c r="E10" s="16" t="inlineStr">
        <is>
          <t>plasticome.v1_only</t>
        </is>
      </c>
      <c r="F10" s="16" t="n">
        <v>310</v>
      </c>
      <c r="G10" s="16" t="n">
        <v>4</v>
      </c>
      <c r="H10" s="16" t="inlineStr">
        <is>
          <t>suffix</t>
        </is>
      </c>
      <c r="I10" s="16" t="inlineStr">
        <is>
          <t>MQDHMRTGAAHHASTGSPHRRSGQLARLATAVAAVVGLTTLSGPGAQAADNPYERGPAPTTASIEAARGPYAVSQTTVSSLAVTGFGGGTIYYPTSTGDGTFGAIAVSPGYTATQSSIAWLGPRLASQGFVVFTIDTLTTLDQPDSRGRQLLAALDHLTQVSSVRTRVDGSRLGVMGHSMGGGGSLEAAKARPSLQAAIPLTPWNLDKSWPEVGTPTLIVGADGDTVAPVASHAEPFYSSLPSSLDRAYLELNNATHFTPNSSNTTIAKYGISWLKRFVDNDTRYEQFLCPLPQPSTTIDEYRGNCPHTS</t>
        </is>
      </c>
      <c r="J10" s="15" t="inlineStr"/>
      <c r="K10" s="15" t="inlineStr"/>
    </row>
    <row r="11">
      <c r="A11" s="14" t="n">
        <v>5</v>
      </c>
      <c r="B11" s="14" t="inlineStr">
        <is>
          <t>core</t>
        </is>
      </c>
      <c r="C11" s="14" t="inlineStr">
        <is>
          <t>Enzyme 202</t>
        </is>
      </c>
      <c r="D11" s="14" t="inlineStr">
        <is>
          <t>YNPsite05_CeleraDRAFT_401410;-;7QJM</t>
        </is>
      </c>
      <c r="E11" s="14" t="inlineStr">
        <is>
          <t>plasticome.v1_only</t>
        </is>
      </c>
      <c r="F11" s="14" t="n">
        <v>380</v>
      </c>
      <c r="G11" s="14" t="n">
        <v>0</v>
      </c>
      <c r="H11" s="14" t="inlineStr"/>
      <c r="I11" s="14" t="inlineStr">
        <is>
          <t>MVDITGNGMAATAPTDERIVDKPLPQPQIRSGNVRAMPAARKLAQEHGIDLSTLTGSGPGGVIVKEDVERAITARAVPV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SADN</t>
        </is>
      </c>
      <c r="J11" s="15" t="inlineStr"/>
      <c r="K11" s="15" t="inlineStr"/>
    </row>
    <row r="12">
      <c r="A12" s="16" t="n">
        <v>5</v>
      </c>
      <c r="B12" s="16" t="inlineStr">
        <is>
          <t>superset</t>
        </is>
      </c>
      <c r="C12" s="16" t="inlineStr">
        <is>
          <t>202</t>
        </is>
      </c>
      <c r="D12" s="16" t="inlineStr"/>
      <c r="E12" s="16" t="inlineStr">
        <is>
          <t>retrieving_only</t>
        </is>
      </c>
      <c r="F12" s="16" t="n">
        <v>388</v>
      </c>
      <c r="G12" s="16" t="n">
        <v>8</v>
      </c>
      <c r="H12" s="16" t="inlineStr">
        <is>
          <t>prefix</t>
        </is>
      </c>
      <c r="I12" s="16" t="inlineStr">
        <is>
          <t>MVDITGNGMAATAPTDERIVDKPLPQPQIRSGNVRAMPAARKLAQEHGIDLSTLTGSGPGGVIVKEDVERAITARAVPV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SADNLEHHHHHH</t>
        </is>
      </c>
      <c r="J12" s="15" t="inlineStr"/>
      <c r="K12" s="15" t="inlineStr"/>
    </row>
    <row r="13">
      <c r="A13" s="14" t="n">
        <v>6</v>
      </c>
      <c r="B13" s="14" t="inlineStr">
        <is>
          <t>core</t>
        </is>
      </c>
      <c r="C13" s="14" t="inlineStr">
        <is>
          <t>LCP_STRK3</t>
        </is>
      </c>
      <c r="D13" s="14" t="inlineStr">
        <is>
          <t>AAR25849.1</t>
        </is>
      </c>
      <c r="E13" s="14" t="inlineStr">
        <is>
          <t>retrieving_only</t>
        </is>
      </c>
      <c r="F13" s="14" t="n">
        <v>397</v>
      </c>
      <c r="G13" s="14" t="n">
        <v>0</v>
      </c>
      <c r="H13" s="14" t="inlineStr"/>
      <c r="I13" s="14" t="inlineStr">
        <is>
          <t>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</t>
        </is>
      </c>
      <c r="J13" s="15" t="inlineStr"/>
      <c r="K13" s="15" t="inlineStr"/>
    </row>
    <row r="14">
      <c r="A14" s="16" t="n">
        <v>6</v>
      </c>
      <c r="B14" s="16" t="inlineStr">
        <is>
          <t>superset</t>
        </is>
      </c>
      <c r="C14" s="16" t="inlineStr">
        <is>
          <t>LCP_STRK3</t>
        </is>
      </c>
      <c r="D14" s="16" t="inlineStr">
        <is>
          <t>Q3L8N0;-;501l</t>
        </is>
      </c>
      <c r="E14" s="16" t="inlineStr">
        <is>
          <t>plasticome.v1_only</t>
        </is>
      </c>
      <c r="F14" s="16" t="n">
        <v>407</v>
      </c>
      <c r="G14" s="16" t="n">
        <v>10</v>
      </c>
      <c r="H14" s="16" t="inlineStr">
        <is>
          <t>suffix</t>
        </is>
      </c>
      <c r="I14" s="16" t="inlineStr">
        <is>
          <t>MDGFSRRRML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</t>
        </is>
      </c>
      <c r="J14" s="15" t="inlineStr"/>
      <c r="K14" s="15" t="inlineStr"/>
    </row>
    <row r="15">
      <c r="A15" s="14" t="n">
        <v>7</v>
      </c>
      <c r="B15" s="14" t="inlineStr">
        <is>
          <t>core</t>
        </is>
      </c>
      <c r="C15" s="14" t="inlineStr">
        <is>
          <t>TEP181</t>
        </is>
      </c>
      <c r="D15" s="14" t="inlineStr">
        <is>
          <t>WP_212846608.1</t>
        </is>
      </c>
      <c r="E15" s="14" t="inlineStr">
        <is>
          <t>retrieving_only</t>
        </is>
      </c>
      <c r="F15" s="14" t="n">
        <v>421</v>
      </c>
      <c r="G15" s="14" t="n">
        <v>0</v>
      </c>
      <c r="H15" s="14" t="inlineStr"/>
      <c r="I15" s="14" t="inlineStr">
        <is>
          <t>MRTVVGAAITAAAVAVGMIASSPA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      </is>
      </c>
      <c r="J15" s="15" t="inlineStr"/>
      <c r="K15" s="15" t="inlineStr"/>
    </row>
    <row r="16">
      <c r="A16" s="16" t="n">
        <v>7</v>
      </c>
      <c r="B16" s="16" t="inlineStr">
        <is>
          <t>superset</t>
        </is>
      </c>
      <c r="C16" s="16" t="inlineStr">
        <is>
          <t>ESM136</t>
        </is>
      </c>
      <c r="D16" s="16" t="inlineStr">
        <is>
          <t>GGR16917.1</t>
        </is>
      </c>
      <c r="E16" s="16" t="inlineStr">
        <is>
          <t>retrieving_only</t>
        </is>
      </c>
      <c r="F16" s="16" t="n">
        <v>431</v>
      </c>
      <c r="G16" s="16" t="n">
        <v>10</v>
      </c>
      <c r="H16" s="16" t="inlineStr">
        <is>
          <t>suffix</t>
        </is>
      </c>
      <c r="I16" s="16" t="inlineStr">
        <is>
          <t>MVAGRRRSWGMRTVVGAAITAAAVAVGMIASSPA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      </is>
      </c>
      <c r="J16" s="15" t="inlineStr"/>
      <c r="K16" s="15" t="inlineStr"/>
    </row>
    <row r="17">
      <c r="A17" s="14" t="n">
        <v>8</v>
      </c>
      <c r="B17" s="14" t="inlineStr">
        <is>
          <t>core</t>
        </is>
      </c>
      <c r="C17" s="14" t="inlineStr">
        <is>
          <t>Enzyme 407</t>
        </is>
      </c>
      <c r="D17" s="14" t="inlineStr">
        <is>
          <t>WP_117215036.1;-</t>
        </is>
      </c>
      <c r="E17" s="14" t="inlineStr">
        <is>
          <t>plasticome.v1_only</t>
        </is>
      </c>
      <c r="F17" s="14" t="n">
        <v>434</v>
      </c>
      <c r="G17" s="14" t="n">
        <v>0</v>
      </c>
      <c r="H17" s="14" t="inlineStr"/>
      <c r="I17" s="14" t="inlineStr">
        <is>
          <t>MQLNKTQASPVAGHASRVWTRAIAAASLGILTAIAVPGPAMAADNPYQRGPDPTRDSVAASRGTFATASTTVGSGNGFGAGFIYYPTDTSQGTFGAVAIVPGYTATWAAEGAWMGHWLASFGFVVIGIDTINRNDWDTARGTQLLAALDYLTQRSTVRDRVDASRLAVMGHSMGGGGAMYAALQRPSLKAAVGLAPFSPSQNLNGMRVPTMLLAGQHDTTTTPASITSLYNGIPAATEKAYLELSGAGHGFPTSNNSVMMRKVIPWLKIFVDSDVRYTQFLCPLMDNTGIRSYQSTCPLLPGTPTPPNRYEAETSPAVCTGTIASNHTGYSGTGFCDGNNATNAYAQFTVNASAAGSMTLRVRFANGTTTARPASLIVNGSTVQTPSFEGTGAWTTWATKTLTVTLNAGNNTIRFNPTTANGLPNLDYIEIAAP</t>
        </is>
      </c>
      <c r="J17" s="15" t="inlineStr"/>
      <c r="K17" s="15" t="inlineStr"/>
    </row>
    <row r="18">
      <c r="A18" s="16" t="n">
        <v>8</v>
      </c>
      <c r="B18" s="16" t="inlineStr">
        <is>
          <t>superset</t>
        </is>
      </c>
      <c r="C18" s="16" t="inlineStr">
        <is>
          <t>407</t>
        </is>
      </c>
      <c r="D18" s="16" t="inlineStr">
        <is>
          <t>WP_162908185.1</t>
        </is>
      </c>
      <c r="E18" s="16" t="inlineStr">
        <is>
          <t>retrieving_only</t>
        </is>
      </c>
      <c r="F18" s="16" t="n">
        <v>436</v>
      </c>
      <c r="G18" s="16" t="n">
        <v>2</v>
      </c>
      <c r="H18" s="16" t="inlineStr">
        <is>
          <t>suffix</t>
        </is>
      </c>
      <c r="I18" s="16" t="inlineStr">
        <is>
          <t>MAMQLNKTQASPVAGHASRVWTRAIAAASLGILTAIAVPGPAMAADNPYQRGPDPTRDSVAASRGTFATASTTVGSGNGFGAGFIYYPTDTSQGTFGAVAIVPGYTATWAAEGAWMGHWLASFGFVVIGIDTINRNDWDTARGTQLLAALDYLTQRSTVRDRVDASRLAVMGHSMGGGGAMYAALQRPSLKAAVGLAPFSPSQNLNGMRVPTMLLAGQHDTTTTPASITSLYNGIPAATEKAYLELSGAGHGFPTSNNSVMMRKVIPWLKIFVDSDVRYTQFLCPLMDNTGIRSYQSTCPLLPGTPTPPNRYEAETSPAVCTGTIASNHTGYSGTGFCDGNNATNAYAQFTVNASAAGSMTLRVRFANGTTTARPASLIVNGSTVQTPSFEGTGAWTTWATKTLTVTLNAGNNTIRFNPTTANGLPNLDYIEIAAP</t>
        </is>
      </c>
      <c r="J18" s="15" t="inlineStr"/>
      <c r="K18" s="15" t="inlineStr"/>
    </row>
    <row r="19">
      <c r="A19" s="14" t="n">
        <v>9</v>
      </c>
      <c r="B19" s="14" t="inlineStr">
        <is>
          <t>core</t>
        </is>
      </c>
      <c r="C19" s="14" t="inlineStr">
        <is>
          <t>Chath_Est1</t>
        </is>
      </c>
      <c r="D19" s="14" t="inlineStr">
        <is>
          <t>ALS54749.1;-</t>
        </is>
      </c>
      <c r="E19" s="14" t="inlineStr">
        <is>
          <t>plasticome.v1_only</t>
        </is>
      </c>
      <c r="F19" s="14" t="n">
        <v>520</v>
      </c>
      <c r="G19" s="14" t="n">
        <v>0</v>
      </c>
      <c r="H19" s="14" t="inlineStr"/>
      <c r="I19" s="14" t="inlineStr">
        <is>
          <t>M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PNLTLANITQEDNQIQHA</t>
        </is>
      </c>
      <c r="J19" s="15" t="inlineStr"/>
      <c r="K19" s="15" t="inlineStr"/>
    </row>
    <row r="20">
      <c r="A20" s="16" t="n">
        <v>9</v>
      </c>
      <c r="B20" s="16" t="inlineStr">
        <is>
          <t>superset</t>
        </is>
      </c>
      <c r="C20" s="16" t="inlineStr">
        <is>
          <t>Chath_Est1</t>
        </is>
      </c>
      <c r="D20" s="16" t="inlineStr">
        <is>
          <t>ALS54749.1</t>
        </is>
      </c>
      <c r="E20" s="16" t="inlineStr">
        <is>
          <t>retrieving_only</t>
        </is>
      </c>
      <c r="F20" s="16" t="n">
        <v>528</v>
      </c>
      <c r="G20" s="16" t="n">
        <v>8</v>
      </c>
      <c r="H20" s="16" t="inlineStr">
        <is>
          <t>prefix</t>
        </is>
      </c>
      <c r="I20" s="16" t="inlineStr">
        <is>
          <t>M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PNLTLANITQEDNQIQHALEHHHHHH</t>
        </is>
      </c>
      <c r="J20" s="15" t="inlineStr"/>
      <c r="K20" s="15" t="inlineStr"/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12" min="1" max="1"/>
    <col width="10" customWidth="1" style="12" min="2" max="2"/>
    <col width="22" customWidth="1" style="12" min="3" max="3"/>
    <col width="26" customWidth="1" style="12" min="4" max="4"/>
    <col width="18" customWidth="1" style="12" min="5" max="5"/>
    <col width="10" customWidth="1" style="12" min="6" max="6"/>
    <col width="9" customWidth="1" style="12" min="7" max="7"/>
    <col width="13" customWidth="1" style="12" min="8" max="8"/>
    <col width="60" customWidth="1" style="12" min="9" max="9"/>
    <col width="30" customWidth="1" style="12" min="10" max="10"/>
    <col width="13" customWidth="1" style="12" min="11" max="11"/>
  </cols>
  <sheetData>
    <row r="1">
      <c r="A1" s="13" t="inlineStr">
        <is>
          <t>group</t>
        </is>
      </c>
      <c r="B1" s="13" t="inlineStr">
        <is>
          <t>role</t>
        </is>
      </c>
      <c r="C1" s="13" t="inlineStr">
        <is>
          <t>enzyme_name</t>
        </is>
      </c>
      <c r="D1" s="13" t="inlineStr">
        <is>
          <t>accessions</t>
        </is>
      </c>
      <c r="E1" s="13" t="inlineStr">
        <is>
          <t>source</t>
        </is>
      </c>
      <c r="F1" s="13" t="inlineStr">
        <is>
          <t>length_aa</t>
        </is>
      </c>
      <c r="G1" s="13" t="inlineStr">
        <is>
          <t>delta_aa</t>
        </is>
      </c>
      <c r="H1" s="13" t="inlineStr">
        <is>
          <t>core_position</t>
        </is>
      </c>
      <c r="I1" s="13" t="inlineStr">
        <is>
          <t>aa_sequence</t>
        </is>
      </c>
      <c r="J1" s="13" t="inlineStr">
        <is>
          <t>change_or_comment</t>
        </is>
      </c>
      <c r="K1" s="13" t="inlineStr">
        <is>
          <t>most_wildtype</t>
        </is>
      </c>
    </row>
    <row r="2">
      <c r="A2" s="14" t="n">
        <v>1</v>
      </c>
      <c r="B2" s="14" t="inlineStr">
        <is>
          <t>core</t>
        </is>
      </c>
      <c r="C2" s="14" t="inlineStr">
        <is>
          <t>1571</t>
        </is>
      </c>
      <c r="D2" s="14" t="inlineStr">
        <is>
          <t>WP_124770494.1</t>
        </is>
      </c>
      <c r="E2" s="14" t="inlineStr">
        <is>
          <t>retrieving_only</t>
        </is>
      </c>
      <c r="F2" s="14" t="n">
        <v>329</v>
      </c>
      <c r="G2" s="14" t="n">
        <v>0</v>
      </c>
      <c r="H2" s="14" t="inlineStr"/>
      <c r="I2" s="14" t="inlineStr">
        <is>
          <t>MPGHANHLPPPGDADTARVSPRRRRGMFTLAAAGLAAAVGLLSITVATGSASAADNPYQRGPDPTRTSVATENGPFANTSVSVPTGYGFNGGRIYYPTDTSQGTFGAIAISPGYTALFSAELAWMGPWLASHGFVVIGIETNSRNDFDTARGTQLLAALDYLTQQSPVRDRVDPNRLAVAGHSMGGGGALSAATRRSSLKAVVGIAPYSPSSNLANDRVPTMIFSGQADTVVTPSYATGLYNSLPATTESVYLEVAGADHGFMVGRSNPVMIRTMLPFVKMFIDNDARYSQFLCPLLDSNGVVTYRSTCPLLPSTPTTPTDPPTDPPTD</t>
        </is>
      </c>
      <c r="J2" s="15" t="inlineStr"/>
      <c r="K2" s="15" t="inlineStr"/>
    </row>
    <row r="3">
      <c r="A3" s="16" t="n">
        <v>1</v>
      </c>
      <c r="B3" s="16" t="inlineStr">
        <is>
          <t>superset</t>
        </is>
      </c>
      <c r="C3" s="16" t="inlineStr">
        <is>
          <t>ESM121</t>
        </is>
      </c>
      <c r="D3" s="16" t="inlineStr">
        <is>
          <t>WP_247684544.1</t>
        </is>
      </c>
      <c r="E3" s="16" t="inlineStr">
        <is>
          <t>retrieving_only</t>
        </is>
      </c>
      <c r="F3" s="16" t="n">
        <v>337</v>
      </c>
      <c r="G3" s="16" t="n">
        <v>8</v>
      </c>
      <c r="H3" s="16" t="inlineStr">
        <is>
          <t>near</t>
        </is>
      </c>
      <c r="I3" s="16" t="inlineStr">
        <is>
          <t>MLTITVATGSASAADNPYQRGPDPTRTSVTAVNGPFANTSVSVPTGYGFNGGRIYYPTDTSQGTFGAIAISPGYTALFSAELAWMGPWLASHGFVVIGIETNSRNDFDTARGTQLLAALDYLTQQSPVRDRVDPNRLAVAGHSMGGGGALSAATRRSSLKAVVGIAPYSPSSNLANDRVPTMIFAGQADTVVTPSYATGLYNSLPTTTESAYLEVAGADHGFMVGRSNPVMVRTMLPFVKMFIDNDARYSQFLCPLLDSSGVVTYRSTCPLLPSTPPTSTPTPTDPPTPTPTPTVPPGSASEIVGTQSSRCIDVPNASRNNGTRVQLYDCNKQTNQA</t>
        </is>
      </c>
      <c r="J3" s="15" t="inlineStr"/>
      <c r="K3" s="15" t="inlineStr"/>
    </row>
    <row r="4">
      <c r="A4" s="16" t="n">
        <v>1</v>
      </c>
      <c r="B4" s="16" t="inlineStr">
        <is>
          <t>superset</t>
        </is>
      </c>
      <c r="C4" s="16" t="inlineStr">
        <is>
          <t>ESM061</t>
        </is>
      </c>
      <c r="D4" s="16" t="inlineStr">
        <is>
          <t>MBF9135495.1</t>
        </is>
      </c>
      <c r="E4" s="16" t="inlineStr">
        <is>
          <t>retrieving_only</t>
        </is>
      </c>
      <c r="F4" s="16" t="n">
        <v>346</v>
      </c>
      <c r="G4" s="16" t="n">
        <v>17</v>
      </c>
      <c r="H4" s="16" t="inlineStr">
        <is>
          <t>near</t>
        </is>
      </c>
      <c r="I4" s="16" t="inlineStr">
        <is>
          <t>MRGHTPHPTPSGDTHADRRSPGFRGGLFKLAAAGIAAAVGLFAMAVTTGSASAADNPYQRGPDPTRTSVAAVNGPFANTSVSVPTGYGFNGGRIYYPTDTSQGTFGAIAISPGYTALFSAELAWMGPWLASHGFVVIGIETNSRNDFDTARGTQLLAALDYLTQQSPVRDRVDPNRLAVSGHSMGGGGALSAAIRRSSLKAVVGIAPYSPSSNLANDRVPTMIFSGQADTVVTPSYATGLYNSLPATTESVYLEVAGADHGFMVGRSNPVMIRTMLPFVKMFIDNDTRYSQFLCPLLDSSGVVTYRSTCPLLPPAPTTPPPTGTPTPTPSSNPTTPPTTPPSTPTA</t>
        </is>
      </c>
      <c r="J4" s="15" t="inlineStr"/>
      <c r="K4" s="15" t="inlineStr"/>
    </row>
    <row r="5">
      <c r="A5" s="16" t="n">
        <v>1</v>
      </c>
      <c r="B5" s="16" t="inlineStr">
        <is>
          <t>superset</t>
        </is>
      </c>
      <c r="C5" s="16" t="inlineStr">
        <is>
          <t>ESM069</t>
        </is>
      </c>
      <c r="D5" s="16" t="inlineStr">
        <is>
          <t>WP_181548579.1</t>
        </is>
      </c>
      <c r="E5" s="16" t="inlineStr">
        <is>
          <t>retrieving_only</t>
        </is>
      </c>
      <c r="F5" s="16" t="n">
        <v>443</v>
      </c>
      <c r="G5" s="16" t="n">
        <v>114</v>
      </c>
      <c r="H5" s="16" t="inlineStr">
        <is>
          <t>near</t>
        </is>
      </c>
      <c r="I5" s="16" t="inlineStr">
        <is>
          <t>MAPRFRGRLFKLAAAGIAAAVGLFTITVATGSASAADNPYQRGPDPTRTSVTAVNGPFANTSVSVPTGYGFNGGRIYYPTDTSQGTFGAIAISPGYTALFSAELAWMGPWLASHGFVVIGIETNSRNDFDTARGTQLLAALDYLTQQSPVRDRVDPNRLAVAGHSMGGGGALSAATRRPSLKAVVGIAPYSPSSNLANDRVPTMIFAGQADTVVTPSYATGLYNSLPATTESVYVEVAGADHGFMVGRSNPVMVRTMLPFVKMFIDNDTRYSQFLCPLLDSSGVVTYRSTCPLLPSTPTPTDPPTPTDPPTVPPGSANEIVGTQSGRCVDVPNASRTNGTRVQLYGCNKQTNQAWTYTSSKQLQVYGNMCLDAAGTGNGAAVQIYSCHNQTNQQWNVNSNGTISNVQSGRCLDAWSTANGAQIQLYDCHGQTNQQFRLAALAG</t>
        </is>
      </c>
      <c r="J5" s="15" t="inlineStr"/>
      <c r="K5" s="15" t="inlineStr"/>
    </row>
    <row r="6">
      <c r="A6" s="16" t="n">
        <v>1</v>
      </c>
      <c r="B6" s="16" t="inlineStr">
        <is>
          <t>superset</t>
        </is>
      </c>
      <c r="C6" s="16" t="inlineStr">
        <is>
          <t>1641</t>
        </is>
      </c>
      <c r="D6" s="16" t="inlineStr">
        <is>
          <t>WP_089021493.1</t>
        </is>
      </c>
      <c r="E6" s="16" t="inlineStr">
        <is>
          <t>retrieving_only</t>
        </is>
      </c>
      <c r="F6" s="16" t="n">
        <v>460</v>
      </c>
      <c r="G6" s="16" t="n">
        <v>131</v>
      </c>
      <c r="H6" s="16" t="inlineStr">
        <is>
          <t>near</t>
        </is>
      </c>
      <c r="I6" s="16" t="inlineStr">
        <is>
          <t>MRGHADHPPLSGNAHADRVSPRSRGRLFKLAAAGIAAAVGLFTVTVATGSASAADNPYQRGPDPTRTSVTAENGPFANTSVSVPTGYGFNGGRIYYPTDTSQGTFGAIAISPGYTALFSAELAWMGPWLASHGFVVIGIETNSRNDFDTARGTQLLAALDYLTQQSPIRDRVDPNRLAVAGHSMGGGGALSAASRRSSLRAVVGIAPYSPSSNLANDRVPTMIFSGQADTVVTPSYATGLYNSLPATTKSVYLEVAGADHGFMVGRSNPVMIRTMLPFVKMFIDNDARYSQFLCPLLDSSGVVTYRSTCPLLPSTPTTPTPTPTDPPTVPPGSANEIVGTQSGRCVDVPNASRNNGTRVQLYDCNKQTNQAWTYTATKQLQVYGNMCLDAAGSGNGAAVQIYSCHSQTNQQWNVNSNGTISSVQSGRCLDAWSTTNGAQIQLYDCHGQTNQQFRLVSLAR</t>
        </is>
      </c>
      <c r="J6" s="15" t="inlineStr"/>
      <c r="K6" s="15" t="inlineStr"/>
    </row>
    <row r="7">
      <c r="A7" s="16" t="n">
        <v>1</v>
      </c>
      <c r="B7" s="16" t="inlineStr">
        <is>
          <t>superset</t>
        </is>
      </c>
      <c r="C7" s="16" t="inlineStr">
        <is>
          <t>1620</t>
        </is>
      </c>
      <c r="D7" s="16" t="inlineStr">
        <is>
          <t>WP_112669767.1</t>
        </is>
      </c>
      <c r="E7" s="16" t="inlineStr">
        <is>
          <t>retrieving_only</t>
        </is>
      </c>
      <c r="F7" s="16" t="n">
        <v>461</v>
      </c>
      <c r="G7" s="16" t="n">
        <v>132</v>
      </c>
      <c r="H7" s="16" t="inlineStr">
        <is>
          <t>near</t>
        </is>
      </c>
      <c r="I7" s="16" t="inlineStr">
        <is>
          <t>MRGHGHHPPPSGNSHTDRVSPRFRGRLFKLAAAGIAAAVGLFTITVATGSASAADNPYQRGPDPTRTSVTAVNGPFANTSVSVPTGYGFNGGRIYYPTDTSQGTFGAIAISPGYTALFSAELAWMGPWLASHGFVVIGIETNSRNDFDTARGTQLLAALDYLTQQSPVRDRVDPNRLAVAGHSMGGGGALSAATRRSSLKAVVGIAPYSPSSNLANDRVPTMIFSGQADTVVTPSYATGLYNSLPATTESVYVEVAGADHGFMVGRSNPVMVRTMLPFVKMFIDNDTRYSQFLCPLLDSSGVVTYRSTCPLLPSTPTPTDPPTPTDPPTVPPGSASEIVGTQSGRCVDVPNASRTNGTRVQLYGCNKQTNQAWTYTSNKQLQVYGTMCLDAAGTANGAAVQIYSCHNQTNQQWNVNSNGTISNVQSGRCLDAWSTTNGAQIQLYDCHGQTNQQFRLAALAR</t>
        </is>
      </c>
      <c r="J7" s="15" t="inlineStr"/>
      <c r="K7" s="15" t="inlineStr"/>
    </row>
    <row r="8">
      <c r="A8" s="16" t="n">
        <v>1</v>
      </c>
      <c r="B8" s="16" t="inlineStr">
        <is>
          <t>superset</t>
        </is>
      </c>
      <c r="C8" s="16" t="inlineStr">
        <is>
          <t>1637</t>
        </is>
      </c>
      <c r="D8" s="16" t="inlineStr">
        <is>
          <t>WP_130401777.1</t>
        </is>
      </c>
      <c r="E8" s="16" t="inlineStr">
        <is>
          <t>retrieving_only</t>
        </is>
      </c>
      <c r="F8" s="16" t="n">
        <v>462</v>
      </c>
      <c r="G8" s="16" t="n">
        <v>133</v>
      </c>
      <c r="H8" s="16" t="inlineStr">
        <is>
          <t>near</t>
        </is>
      </c>
      <c r="I8" s="16" t="inlineStr">
        <is>
          <t>MREPADHLPPAGATPADRASPGLRGRLFKLAAAGIAAAVGLLSITLATGSASAADNPYQRGPDPTPTSVTAVNGPFANTSVAVPTGYGFNGGRIYYPTDTSQGTFGAIAISPGYTALFSAELAWMGPWLASHGFVVIGIETNSRNDFDTARGTQLLAALDYLTQQSPVRDRVDPNRLAVAGHSMGGGGALSAATRRSSLKAAVGIAPYSPSSNLANDRVPTMIFAGQADTVVTPSYASGLYNSLPATTESVYLEVAGADHGFMVGRSNPVMVRTMLPFVKMFIDNDTRYSQFLCPLMDSSGVVTSRSTCPLLPSDPTTPTPTPTTPDPTPTVPPGSASEIVGTQSGRCIDVPNASRTNGTRVQLYNCNRQTNQAWTYTSNKQLQVYGTMCLDAAGSGNGAAVQIYSCHSGTNQQWNVNSNGTISGVQSGRCLDVWSTSNGAQVQLYDCHGQTNQQFRLAPLG</t>
        </is>
      </c>
      <c r="J8" s="15" t="inlineStr"/>
      <c r="K8" s="15" t="inlineStr"/>
    </row>
    <row r="9">
      <c r="A9" s="16" t="n">
        <v>1</v>
      </c>
      <c r="B9" s="16" t="inlineStr">
        <is>
          <t>superset</t>
        </is>
      </c>
      <c r="C9" s="16" t="inlineStr">
        <is>
          <t>1628</t>
        </is>
      </c>
      <c r="D9" s="16" t="inlineStr">
        <is>
          <t>WP_091553551.1</t>
        </is>
      </c>
      <c r="E9" s="16" t="inlineStr">
        <is>
          <t>retrieving_only</t>
        </is>
      </c>
      <c r="F9" s="16" t="n">
        <v>463</v>
      </c>
      <c r="G9" s="16" t="n">
        <v>134</v>
      </c>
      <c r="H9" s="16" t="inlineStr">
        <is>
          <t>near</t>
        </is>
      </c>
      <c r="I9" s="16" t="inlineStr">
        <is>
          <t>MRGHTPHPPPSRDTHTDRVSLGLRGRLLTLAAAGVAVTLGLFTMAVTTGSASAADNPYQRGPDPTRTSVAAVNGPFANTSVSVPTGYGFNGGRIYYPTDTSQGTFGAIAISPGYTALFSAELAWMGPWLASHGFVVIGIETNSRNDFDTARGTQLLAALDYLTQQSPVRDRVDPNRLAVAGHSMGGGGALSAAIRRPGLKAVVGIAPYSPSSNLANDRVPTMIFAGQADTVVTPSYATGLYNSLPATTESVYLEVAGADHGFMVGRSNPVMIRTMLPFVKMFIDNDARYSQFLCPLLDSSGVVTYRSTCPLLPATPTTPPTTPPTTPPATPTVPPNSASAIVGVQSGRCVDVTNASRANGTRVQLYDCNKQSNQAWTYTSDKQLRVYGDMCLDAAGSGNGAAVQIYSCHGQSNQQWNVNSNGTISGVQSGRCLDVWSTANGAQIQLYDCHGQTNQRFNLVSAG</t>
        </is>
      </c>
      <c r="J9" s="15" t="inlineStr"/>
      <c r="K9" s="15" t="inlineStr"/>
    </row>
    <row r="10">
      <c r="A10" s="16" t="n">
        <v>1</v>
      </c>
      <c r="B10" s="16" t="inlineStr">
        <is>
          <t>superset</t>
        </is>
      </c>
      <c r="C10" s="16" t="inlineStr">
        <is>
          <t>1603</t>
        </is>
      </c>
      <c r="D10" s="16" t="inlineStr">
        <is>
          <t>WP_110567505.1</t>
        </is>
      </c>
      <c r="E10" s="16" t="inlineStr">
        <is>
          <t>retrieving_only</t>
        </is>
      </c>
      <c r="F10" s="16" t="n">
        <v>465</v>
      </c>
      <c r="G10" s="16" t="n">
        <v>136</v>
      </c>
      <c r="H10" s="16" t="inlineStr">
        <is>
          <t>near</t>
        </is>
      </c>
      <c r="I10" s="16" t="inlineStr">
        <is>
          <t>MRGHGHHPPPSGNTPAARTSRFRGRLFKLAAAGLAAAVGLFTLTVTTGSASAADNPYQRGPDPTRTSVTAVNGPFANTSVSVPTGYGFNGGRIYYPTDTSQGTFGAIAISPGYTALFSAELAWMGPWLASHGFVVIGIETNSRNDFDTARGTQLLAALDYLTQQSPVRDRVDPNRLAVAGHSMGGGGALSAATRRSSLKAVVGIAPYSPSSNLANDRVPTMIFAGQADTVVTPSYATNLYNSLPTTTESVYLEVAGADHGFMVGRSNPVMVRTMLPFVKMFVDNDTRYSQFLCPLADSSGVVTYRSTCPLLPSTPTTPTATPTNTPTPTASPTVPPGSASQIVGTQSGRCIDVPNASHTNGTRVALYDCNRQSNQSWTYTSTKQLQVYGTMCLDAAGSGNGAAVQIYGCHSQTNQQWNVNSNGTISSVQSGRCLDVWSTANGAQVQLYDCHGQTNQQFRLVSLAR</t>
        </is>
      </c>
      <c r="J10" s="15" t="inlineStr"/>
      <c r="K10" s="15" t="inlineStr"/>
    </row>
    <row r="11">
      <c r="A11" s="16" t="n">
        <v>1</v>
      </c>
      <c r="B11" s="16" t="inlineStr">
        <is>
          <t>superset</t>
        </is>
      </c>
      <c r="C11" s="16" t="inlineStr">
        <is>
          <t>1611</t>
        </is>
      </c>
      <c r="D11" s="16" t="inlineStr">
        <is>
          <t>WP_124822775.1</t>
        </is>
      </c>
      <c r="E11" s="16" t="inlineStr">
        <is>
          <t>retrieving_only</t>
        </is>
      </c>
      <c r="F11" s="16" t="n">
        <v>465</v>
      </c>
      <c r="G11" s="16" t="n">
        <v>136</v>
      </c>
      <c r="H11" s="16" t="inlineStr">
        <is>
          <t>near</t>
        </is>
      </c>
      <c r="I11" s="16" t="inlineStr">
        <is>
          <t>MRGHGYHPPPSGNTRADRVSPRFRGRLFKLAAAGIAAAVGLLTITVATGSASAADNPYQRGPDPTRTSVTAVNGPFANTSVSVPTGYGFNGGRIYYPTDTSQGTFGAIAISPGYTALFSAELAWMGPWLASHGFVVIGIETNSRNDFDTARGTQLLAALDYLTQQSPVRDRVDPNRLAVAGHSMGGGGALSAAIRRSSLKAVVGIAPYSPSSNLANDRVPTMIFAGQADTVVTPSYATGLYNSLPTTTESVYLEVAGADHGFMVGRSNPVMVRTMLPFVKMFIDNDARYSQFLCPLLDSSGVVTYRSTCPLLPSTPTDPPTPTDPPTPTDPPTVPPGSASEIVGTQSGRCVDVPNASRNNGTRVQLYGCNKQTNQAWTYTSNKQLQVYGTMCLDAAGTANGAAVQIYTCHSQTNQQWNVNSNGTISNVQSGRCLDAWSTANGAQIQLYDCHGQTNQQFRLAALAQ</t>
        </is>
      </c>
      <c r="J11" s="15" t="inlineStr"/>
      <c r="K11" s="15" t="inlineStr"/>
    </row>
    <row r="12">
      <c r="A12" s="16" t="n">
        <v>1</v>
      </c>
      <c r="B12" s="16" t="inlineStr">
        <is>
          <t>superset</t>
        </is>
      </c>
      <c r="C12" s="16" t="inlineStr">
        <is>
          <t>1617</t>
        </is>
      </c>
      <c r="D12" s="16" t="inlineStr">
        <is>
          <t>CCH19814.1</t>
        </is>
      </c>
      <c r="E12" s="16" t="inlineStr">
        <is>
          <t>retrieving_only</t>
        </is>
      </c>
      <c r="F12" s="16" t="n">
        <v>465</v>
      </c>
      <c r="G12" s="16" t="n">
        <v>136</v>
      </c>
      <c r="H12" s="16" t="inlineStr">
        <is>
          <t>near</t>
        </is>
      </c>
      <c r="I12" s="16" t="inlineStr">
        <is>
          <t>MRGHANHPPPSENTRADRMSPRFRGRLFKLAAAGIAAAVGMFTMTVATGSASAADNPYQRGPDPTRTSVTAVNGPFANTSVSVPTGYGFNGGRIYYPTDTSQGTFGAIAISPGYTALFSAELAWMGPWLASHGFVVIGIETNSRNDFDTARGTQLLAALDYLTQQSPVRDRVDPTRLAVAGHSMGGGGALSAATRRSSLKAAVGIAPYSPSSNLANDRVPTMVFAGQADTVVTPSYATGLYNSLPATTESAYLEVAGADHGFMVGRSNPVLVRTMLPFVKMFVDNDARYSQFLCPLLDSSGVVTYRSTCPLLPSTPTTPTATPTNTPTPTASPTVPPTSASQIVGTQSGRCVDVPNASRTNGTRVTLYDCNRQINQTWTYTANKQLQVYGTMCLDAAGTGNGAAVQIYNCHGQTNQQWNVNSNGTISSVQSGRCLDVWSTSNGAQIQLYDCHGQPNQQFRLVSLA</t>
        </is>
      </c>
      <c r="J12" s="15" t="inlineStr"/>
      <c r="K12" s="15" t="inlineStr"/>
    </row>
    <row r="13">
      <c r="A13" s="16" t="n">
        <v>1</v>
      </c>
      <c r="B13" s="16" t="inlineStr">
        <is>
          <t>superset</t>
        </is>
      </c>
      <c r="C13" s="16" t="inlineStr">
        <is>
          <t>1642</t>
        </is>
      </c>
      <c r="D13" s="16" t="inlineStr">
        <is>
          <t>WP_139584963.1</t>
        </is>
      </c>
      <c r="E13" s="16" t="inlineStr">
        <is>
          <t>retrieving_only</t>
        </is>
      </c>
      <c r="F13" s="16" t="n">
        <v>465</v>
      </c>
      <c r="G13" s="16" t="n">
        <v>136</v>
      </c>
      <c r="H13" s="16" t="inlineStr">
        <is>
          <t>near</t>
        </is>
      </c>
      <c r="I13" s="16" t="inlineStr">
        <is>
          <t>MRGPADHPPPAGNTRADRVSPGFRGRLFTLAAAGIAVAVGLFTITVATGSASAADNPYQRGPDPTRTSVTAVNGPFANTSVSVPTGYGFNGGRIYYPTDTSQGTFGAIAISPGYTALFSAELAWMGPWLASHGFVVIGIETNSRNDFDTARGTQLLAALDYLTQQSPVRDRVDPNRLAVAGHSMGGGGALSAAIRRPSLKAVVGIAPYSPSSNLANDRVPTMIFSGQADTVVTPSYATGLYNSLPATTESVYLEVAGADHGFMVGRSNPVMVRTMLPFVKMFIDDDARYSQFLCPLLDNSGVVTYRSTCPLLPTTPTTPPTGTPTPTPTPTQTTPPPGSASQIVGTQSGRCVDVPNASTTNGTRVQLYDCNRQTNQAWTYTSTKQLQVYGTMCLDAAGTGNGAAVQIYSCHSQTNQQWNVNSNGTISSVQSGRCLDAWSTANGAQIQLYDCHGQTNQQFRLAALA</t>
        </is>
      </c>
      <c r="J13" s="15" t="inlineStr"/>
      <c r="K13" s="15" t="inlineStr"/>
    </row>
    <row r="14">
      <c r="A14" s="16" t="n">
        <v>1</v>
      </c>
      <c r="B14" s="16" t="inlineStr">
        <is>
          <t>superset</t>
        </is>
      </c>
      <c r="C14" s="16" t="inlineStr">
        <is>
          <t>ESM062</t>
        </is>
      </c>
      <c r="D14" s="16" t="inlineStr">
        <is>
          <t>TWG17167.1</t>
        </is>
      </c>
      <c r="E14" s="16" t="inlineStr">
        <is>
          <t>retrieving_only</t>
        </is>
      </c>
      <c r="F14" s="16" t="n">
        <v>465</v>
      </c>
      <c r="G14" s="16" t="n">
        <v>136</v>
      </c>
      <c r="H14" s="16" t="inlineStr">
        <is>
          <t>near</t>
        </is>
      </c>
      <c r="I14" s="16" t="inlineStr">
        <is>
          <t>MRGPADHLPPTGNTQADRVSTGLRGRLFKLAAAGIAAAVGLLTITVATGSASAADNPYQRGPDPTRTSVTAVNGPFANTSVSVPTGYGFNGGRIYYPTDTSQGTFGAIAISPGYTALFSAELAWMGPWLASHGFVVIGIETNSRNDFDTARGTQLLAALDYLTQQSPVRDRVDPTRLAVAGHSMGGGGALSAAIRRSSLKAVVGIAPYSPSSNLANDRVPTMIFSGQADTVVTPSYATGLYNSLPSTTESVYLEVAGADHGFMVGRSNPVMVRTMLPFVKMFVDNDARYSQFLCPLLDNSGVVTYRSTCPLLPSTPTTPTPTPTDPTTPTPTPTVPPGSASQIVGTQSGRCIDVPNASRTNGTRVQLYDCNRQTNQAWTYTSGKQLQVYGNMCLDAAGTGNGAAVQIYSCHSQTNQQWNVNSNGTISNVQSGRCLDVWSTANGAQIQLYDCHSQTNQQFRVTPLA</t>
        </is>
      </c>
      <c r="J14" s="15" t="inlineStr"/>
      <c r="K14" s="15" t="inlineStr"/>
    </row>
    <row r="15">
      <c r="A15" s="16" t="n">
        <v>1</v>
      </c>
      <c r="B15" s="16" t="inlineStr">
        <is>
          <t>superset</t>
        </is>
      </c>
      <c r="C15" s="16" t="inlineStr">
        <is>
          <t>1621</t>
        </is>
      </c>
      <c r="D15" s="16" t="inlineStr">
        <is>
          <t>WP_088988822.1</t>
        </is>
      </c>
      <c r="E15" s="16" t="inlineStr">
        <is>
          <t>retrieving_only</t>
        </is>
      </c>
      <c r="F15" s="16" t="n">
        <v>465</v>
      </c>
      <c r="G15" s="16" t="n">
        <v>136</v>
      </c>
      <c r="H15" s="16" t="inlineStr">
        <is>
          <t>near</t>
        </is>
      </c>
      <c r="I15" s="16" t="inlineStr">
        <is>
          <t>MRNDAHHPPPSGPTATEPVRPDRRGRLFKLAAVGLAAAVGLLTMTMTTGSASAADNPYQRGPDPTRTSVTAVNGPFANTSVSVPTGYGFNGGRIYYPTDTSQGTFGAIAISPGYTALFSAELAWMGPWLASHGFVVIGIETNSRNDFDTARGTQLLAALDYLTQQSPVRDRVDPTRLAVAGHSMGGGGALSAAIRRSSLKAVVGIAPYSPSSNLANDRVPTMVISGQADTVVTPSYATGLYNSLPSTTESVYLEVAGADHGFMVGRSNPVMVRTMLPFVKMFVDNDARYSQFLCPLLDNSGVVTYRSTCPLLPSTPTTPTPTPTDPPTPTPTPTVPPGTASEIVGTQSGRCVDVPNASRTNGTRVQLYGCNKQTNQQWTYTSNKQLQVYGNMCLDAAGSGNGAAVQIYSCHSQTNQQWNVNSNGTISGVQSGRCLDVWSTANGAQIQLYDCHGQTNQQFRLTPIA</t>
        </is>
      </c>
      <c r="J15" s="15" t="inlineStr"/>
      <c r="K15" s="15" t="inlineStr"/>
    </row>
    <row r="16">
      <c r="A16" s="16" t="n">
        <v>1</v>
      </c>
      <c r="B16" s="16" t="inlineStr">
        <is>
          <t>superset</t>
        </is>
      </c>
      <c r="C16" s="16" t="inlineStr">
        <is>
          <t>1625</t>
        </is>
      </c>
      <c r="D16" s="16" t="inlineStr">
        <is>
          <t>WP_101366623.1</t>
        </is>
      </c>
      <c r="E16" s="16" t="inlineStr">
        <is>
          <t>retrieving_only</t>
        </is>
      </c>
      <c r="F16" s="16" t="n">
        <v>468</v>
      </c>
      <c r="G16" s="16" t="n">
        <v>139</v>
      </c>
      <c r="H16" s="16" t="inlineStr">
        <is>
          <t>near</t>
        </is>
      </c>
      <c r="I16" s="16" t="inlineStr">
        <is>
          <t>MRGHTPHPTPSGDTHADRRSPGFRGRLFTLTAAGIVAAVGLFAMVVTTGSASAADNPYQRGPDPTRTSVTAERGPFANTSVSVPTGYGFNGGRIYYPTDTSQGTFGAIAISPGYTALFSAELAWMGPWLASHGFVVIGIETNSRNDFDTARGTQLLAALDYLTQQSPVRDRVDPNRLAVSGHSMGGGGALSAAIRRSSLKAVVGIAPYSPSSNLANDRVPTMIFSGQADTVVTPSYATGLYNSLPATTESVYLEVAGADHGFMVGRSNPVMIRTMLPFVKMFIDNDARYSQFLCPLLDSSGVVTYRSTCPLLPPPATGTPTPTPSGNPTTPPTTPPSTPTAPPGSASEIVGAQSNRCIDAPSRNNGTRVQLYDCNRQSNQLWTYTSGKQLQVSGNMCLDAAGSGNGAAVQIYSCHSQTNQQWNVNSNGTISGVQSGRCLDVWSTANGAQVQLYDCHGQTNQQFRLVSR</t>
        </is>
      </c>
      <c r="J16" s="15" t="inlineStr"/>
      <c r="K16" s="15" t="inlineStr"/>
    </row>
    <row r="17">
      <c r="A17" s="16" t="n">
        <v>1</v>
      </c>
      <c r="B17" s="16" t="inlineStr">
        <is>
          <t>superset</t>
        </is>
      </c>
      <c r="C17" s="16" t="inlineStr">
        <is>
          <t>1534</t>
        </is>
      </c>
      <c r="D17" s="16" t="inlineStr">
        <is>
          <t>WP_082377728.1</t>
        </is>
      </c>
      <c r="E17" s="16" t="inlineStr">
        <is>
          <t>retrieving_only</t>
        </is>
      </c>
      <c r="F17" s="16" t="n">
        <v>469</v>
      </c>
      <c r="G17" s="16" t="n">
        <v>140</v>
      </c>
      <c r="H17" s="16" t="inlineStr">
        <is>
          <t>near</t>
        </is>
      </c>
      <c r="I17" s="16" t="inlineStr">
        <is>
          <t>MRENGHHPPPSGTTNADRVPARFRGRVLKLAAVGIAAVVGMFTITVATGSASAADNPYQRGPDPTQSSVTAVNGPFANTSVSVPTGYGFNGGRIYYPTDTSQGTFGAIAISPGYTALFSAELAWMGPWLASHGFVVIGIETNSRNDFDTARGTQLLAALDYLTQQSPVRDRVDPTRLAVAGHSMGGGGALSAAMRRPSLKAVVGIAPYSPSSNLANDRVPTMILSGQADTVVTPSYATGLYNSLPSTTESVYLEVAGADHGFMVGRPNPVMVRTMLPFVKMFVDNDARYSQFLCPLLDSSGVVTYRSTCPLLPTTPTTPTPTTPGPTTPGPTPTVSPSVPPTSAGEIVGTQSGRCIDVPNASRNNGTRVQLYDCNRQTNQTWTYTSGKQLQVYGNMCLDAAGTGNGAAVQIYNCHSQTNQQWNINSNGTISSVQSGRCLDAWSTANGAQIQLYDCHGQTNQQFRLVARA</t>
        </is>
      </c>
      <c r="J17" s="15" t="inlineStr"/>
      <c r="K17" s="15" t="inlineStr"/>
    </row>
    <row r="18">
      <c r="A18" s="16" t="n">
        <v>1</v>
      </c>
      <c r="B18" s="16" t="inlineStr">
        <is>
          <t>superset</t>
        </is>
      </c>
      <c r="C18" s="16" t="inlineStr">
        <is>
          <t>ESM130</t>
        </is>
      </c>
      <c r="D18" s="16" t="inlineStr">
        <is>
          <t>MCF0091346.1</t>
        </is>
      </c>
      <c r="E18" s="16" t="inlineStr">
        <is>
          <t>retrieving_only</t>
        </is>
      </c>
      <c r="F18" s="16" t="n">
        <v>469</v>
      </c>
      <c r="G18" s="16" t="n">
        <v>140</v>
      </c>
      <c r="H18" s="16" t="inlineStr">
        <is>
          <t>near</t>
        </is>
      </c>
      <c r="I18" s="16" t="inlineStr">
        <is>
          <t>MRGPADHPPPPGDTHADRPSPRSRGRLLKLAAAGIAAAVGLLTIAVATGSASAADNPYQRGPDPTAASVTAVNGPFANTSVSVPTGYGFNGGRIYYPTDTSQGTFGAIAISPGYTALFSAELAWMGPWLASHGFVVIGIETNSRNDFDTARGTQLLAALDYLTQQSPVRDRVDPNRLAVAGHSMGGGGALSAATRRPSLKAVVGIAPYSPSSNLANDRVPTMIFAGQADTVVTPSYATGLYNSLPTTTESTYLEVAGADHGFMVGRSNPVLVRTMLPFVKMFLDNDARYSQFLCPLLDNSGVVTYRSTCPLLPSTPTSPTPTTTPTSTPTPTPTVTPTTPPGSASQIVGTQSGRCVDVPNASRTNGTRVHLWDCNRQANQAWTYTANKQLQVYGTMCLDAAGTGNGAAVQIYSCHGQTNQQWNVNSNGTISSVQSGRCLDVWSTANGAQVQLYDCHGQTNQQFRLTALN</t>
        </is>
      </c>
      <c r="J18" s="15" t="inlineStr"/>
      <c r="K18" s="15" t="inlineStr"/>
    </row>
    <row r="19">
      <c r="A19" s="14" t="n">
        <v>2</v>
      </c>
      <c r="B19" s="14" t="inlineStr">
        <is>
          <t>core</t>
        </is>
      </c>
      <c r="C19" s="14" t="inlineStr">
        <is>
          <t>TfH</t>
        </is>
      </c>
      <c r="D19" s="14" t="inlineStr">
        <is>
          <t>5ZOA_A</t>
        </is>
      </c>
      <c r="E19" s="14" t="inlineStr">
        <is>
          <t>retrieving_only</t>
        </is>
      </c>
      <c r="F19" s="14" t="n">
        <v>261</v>
      </c>
      <c r="G19" s="14" t="n">
        <v>0</v>
      </c>
      <c r="H19" s="14" t="inlineStr"/>
      <c r="I19" s="14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J19" s="15" t="inlineStr"/>
      <c r="K19" s="15" t="inlineStr"/>
    </row>
    <row r="20">
      <c r="A20" s="16" t="n">
        <v>2</v>
      </c>
      <c r="B20" s="16" t="inlineStr">
        <is>
          <t>superset</t>
        </is>
      </c>
      <c r="C20" s="16" t="inlineStr">
        <is>
          <t>TfCut_2;Cut-2.kw3</t>
        </is>
      </c>
      <c r="D20" s="16" t="inlineStr">
        <is>
          <t>E5BBQ3_THEFU;4CG1;CBY05530</t>
        </is>
      </c>
      <c r="E20" s="16" t="inlineStr">
        <is>
          <t>both</t>
        </is>
      </c>
      <c r="F20" s="16" t="n">
        <v>261</v>
      </c>
      <c r="G20" s="16" t="n">
        <v>0</v>
      </c>
      <c r="H20" s="16" t="inlineStr">
        <is>
          <t>near</t>
        </is>
      </c>
      <c r="I20" s="16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</t>
        </is>
      </c>
      <c r="J20" s="15" t="inlineStr"/>
      <c r="K20" s="15" t="inlineStr"/>
    </row>
    <row r="21">
      <c r="A21" s="16" t="n">
        <v>2</v>
      </c>
      <c r="B21" s="16" t="inlineStr">
        <is>
          <t>superset</t>
        </is>
      </c>
      <c r="C21" s="16" t="inlineStr">
        <is>
          <t>Enzyme 702;702</t>
        </is>
      </c>
      <c r="D21" s="16" t="inlineStr">
        <is>
          <t>ADM47605.1;Q6A0I4;7QJQ</t>
        </is>
      </c>
      <c r="E21" s="16" t="inlineStr">
        <is>
          <t>both</t>
        </is>
      </c>
      <c r="F21" s="16" t="n">
        <v>262</v>
      </c>
      <c r="G21" s="16" t="n">
        <v>1</v>
      </c>
      <c r="H21" s="16" t="inlineStr">
        <is>
          <t>near</t>
        </is>
      </c>
      <c r="I21" s="16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  <c r="J21" s="15" t="inlineStr"/>
      <c r="K21" s="15" t="inlineStr"/>
    </row>
    <row r="22">
      <c r="A22" s="16" t="n">
        <v>2</v>
      </c>
      <c r="B22" s="16" t="inlineStr">
        <is>
          <t>superset</t>
        </is>
      </c>
      <c r="C22" s="16" t="inlineStr">
        <is>
          <t>TfH42_Cut1</t>
        </is>
      </c>
      <c r="D22" s="16" t="inlineStr">
        <is>
          <t>E9LVI0_THEFU;-;ADV92528.1</t>
        </is>
      </c>
      <c r="E22" s="16" t="inlineStr">
        <is>
          <t>both</t>
        </is>
      </c>
      <c r="F22" s="16" t="n">
        <v>262</v>
      </c>
      <c r="G22" s="16" t="n">
        <v>1</v>
      </c>
      <c r="H22" s="16" t="inlineStr">
        <is>
          <t>near</t>
        </is>
      </c>
      <c r="I22" s="16" t="inlineStr">
        <is>
          <t>MANPYERGPNPTDALLEARSGPFSVSEENVSRLSASGFGGGTIYYPRENNTYGAVAISPGYTGTEASIAWLGERIASHGFVVITIDTITTLDQPDSRAEQLNAALNHMINRASSTVRSRIDSSRLAVMGHSMGGGGSLRLASQRPDLKAAIPLTPWHLNKNWSSVRVPTLIIGADLDTIAPVLTHARPFYNSLPTSISKAYLELDGATHFAPNIPNKIIGKYSVAWLKRFVDNDTRYTQFLCPGPRDGLFGEVEEYRSTCPF</t>
        </is>
      </c>
      <c r="J22" s="15" t="inlineStr"/>
      <c r="K22" s="15" t="inlineStr"/>
    </row>
    <row r="23">
      <c r="A23" s="16" t="n">
        <v>2</v>
      </c>
      <c r="B23" s="16" t="inlineStr">
        <is>
          <t>superset</t>
        </is>
      </c>
      <c r="C23" s="16" t="inlineStr">
        <is>
          <t>Thc_Cut2;Thc_cut2</t>
        </is>
      </c>
      <c r="D23" s="16" t="inlineStr">
        <is>
          <t>ADV92571;E9LVH9;5LUJ;ADV92527.1</t>
        </is>
      </c>
      <c r="E23" s="16" t="inlineStr">
        <is>
          <t>both</t>
        </is>
      </c>
      <c r="F23" s="16" t="n">
        <v>262</v>
      </c>
      <c r="G23" s="16" t="n">
        <v>1</v>
      </c>
      <c r="H23" s="16" t="inlineStr">
        <is>
          <t>near</t>
        </is>
      </c>
      <c r="I23" s="16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J23" s="15" t="inlineStr"/>
      <c r="K23" s="15" t="inlineStr"/>
    </row>
    <row r="24">
      <c r="A24" s="16" t="n">
        <v>2</v>
      </c>
      <c r="B24" s="16" t="inlineStr">
        <is>
          <t>superset</t>
        </is>
      </c>
      <c r="C24" s="16" t="inlineStr">
        <is>
          <t>-;Thc_cut1;Thc_Cut1</t>
        </is>
      </c>
      <c r="D24" s="16" t="inlineStr">
        <is>
          <t>ADV92526.1;E9LVH8;5LUI;-</t>
        </is>
      </c>
      <c r="E24" s="16" t="inlineStr">
        <is>
          <t>both</t>
        </is>
      </c>
      <c r="F24" s="16" t="n">
        <v>262</v>
      </c>
      <c r="G24" s="16" t="n">
        <v>1</v>
      </c>
      <c r="H24" s="16" t="inlineStr">
        <is>
          <t>suffix</t>
        </is>
      </c>
      <c r="I24" s="16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J24" s="15" t="inlineStr"/>
      <c r="K24" s="15" t="inlineStr"/>
    </row>
    <row r="25">
      <c r="A25" s="16" t="n">
        <v>2</v>
      </c>
      <c r="B25" s="16" t="inlineStr">
        <is>
          <t>superset</t>
        </is>
      </c>
      <c r="C25" s="16" t="inlineStr">
        <is>
          <t>Tha_Cut1;cut1</t>
        </is>
      </c>
      <c r="D25" s="16" t="inlineStr">
        <is>
          <t>E9LVH7;-;ADV92525.1</t>
        </is>
      </c>
      <c r="E25" s="16" t="inlineStr">
        <is>
          <t>both</t>
        </is>
      </c>
      <c r="F25" s="16" t="n">
        <v>262</v>
      </c>
      <c r="G25" s="16" t="n">
        <v>1</v>
      </c>
      <c r="H25" s="16" t="inlineStr">
        <is>
          <t>near</t>
        </is>
      </c>
      <c r="I25" s="16" t="inlineStr">
        <is>
          <t>MANPYERGPNPTDALLEASSGPFSVSEENVSRLSASGFGGGTIYYPRENNTYGAVAISPGYTGTEASIAWLGGRIASHGFVVITIDTITTLDQPDSRAEQLNAALNHMINRASSTVRSRIDSSRLAVMGHSMGGGGTPRLASQRPDLKAAIPLTPWHLNKNRSSVTVPTLIIGADLDTIAPVATHAKPFYNSLPSSISKAYLELDGATHFAPNIPNKIIGKYSVAWLKRFVDNDTRYTQFLCPGPRDGLFGEVEEYCSTCPF</t>
        </is>
      </c>
      <c r="J25" s="15" t="inlineStr"/>
      <c r="K25" s="15" t="inlineStr"/>
    </row>
    <row r="26">
      <c r="A26" s="16" t="n">
        <v>2</v>
      </c>
      <c r="B26" s="16" t="inlineStr">
        <is>
          <t>superset</t>
        </is>
      </c>
      <c r="C26" s="16" t="inlineStr">
        <is>
          <t>Enzyme 701;701</t>
        </is>
      </c>
      <c r="D26" s="16" t="inlineStr">
        <is>
          <t>WP_104613137.1;-</t>
        </is>
      </c>
      <c r="E26" s="16" t="inlineStr">
        <is>
          <t>both</t>
        </is>
      </c>
      <c r="F26" s="16" t="n">
        <v>301</v>
      </c>
      <c r="G26" s="16" t="n">
        <v>40</v>
      </c>
      <c r="H26" s="16" t="inlineStr">
        <is>
          <t>near</t>
        </is>
      </c>
      <c r="I26" s="16" t="inlineStr">
        <is>
          <t>MAVMTPRRERSSLLSRALQVTAAAATALVTAVSLAAPAHAANPYERGPNPTDALLEARSGPFSVSEENVSRLSASGFGGGTIYYPRENNTYGAVAISPGYTGTEASIAWLGKRIASHGFVVITIDTITTLDQPDSRAEQLNAALNHMINRASSTVRSRIDSSRLAVMGHSMGGGGSLRLASQRPDLKAAIPLTPWHLNKNWSSVRVPTLIIGADLDTIAPVLTHARPFYNSLPTSISKAYLELDGATHFAPNIPNKIIGKYSVAWLKRFVDNDTRYTQFLCPGPRDGLFGEVEEYRSTCPF</t>
        </is>
      </c>
      <c r="J26" s="15" t="inlineStr"/>
      <c r="K26" s="15" t="inlineStr"/>
    </row>
    <row r="27">
      <c r="A27" s="16" t="n">
        <v>2</v>
      </c>
      <c r="B27" s="16" t="inlineStr">
        <is>
          <t>superset</t>
        </is>
      </c>
      <c r="C27" s="16" t="inlineStr">
        <is>
          <t>Cut2;WSH03-11;Tfu_0883;BTA-1;TfH</t>
        </is>
      </c>
      <c r="D27" s="16" t="inlineStr">
        <is>
          <t>JN129500.1;Q47RJ6_THEFY;Q6A0I4;-;5ZOA;CAH17553.1;AET05799.1;WP_011291330.1</t>
        </is>
      </c>
      <c r="E27" s="16" t="inlineStr">
        <is>
          <t>both</t>
        </is>
      </c>
      <c r="F27" s="16" t="n">
        <v>301</v>
      </c>
      <c r="G27" s="16" t="n">
        <v>40</v>
      </c>
      <c r="H27" s="16" t="inlineStr">
        <is>
          <t>suffix</t>
        </is>
      </c>
      <c r="I27" s="16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  <c r="J27" s="15" t="inlineStr"/>
      <c r="K27" s="15" t="inlineStr"/>
    </row>
    <row r="28">
      <c r="A28" s="16" t="n">
        <v>2</v>
      </c>
      <c r="B28" s="16" t="inlineStr">
        <is>
          <t>superset</t>
        </is>
      </c>
      <c r="C28" s="16" t="inlineStr">
        <is>
          <t>BTA-2;TfH</t>
        </is>
      </c>
      <c r="D28" s="16" t="inlineStr">
        <is>
          <t>AJ810119;Q6A0I3;-;CAH17554.1</t>
        </is>
      </c>
      <c r="E28" s="16" t="inlineStr">
        <is>
          <t>both</t>
        </is>
      </c>
      <c r="F28" s="16" t="n">
        <v>301</v>
      </c>
      <c r="G28" s="16" t="n">
        <v>40</v>
      </c>
      <c r="H28" s="16" t="inlineStr">
        <is>
          <t>near</t>
        </is>
      </c>
      <c r="I28" s="16" t="inlineStr">
        <is>
          <t>MAVMTPRRERSSLLSRALRFTAAAATALVTAVSLAAPAHAANPYERGPNPTDALLEARSGPFSVSEERASRFGADGFGGGTIYYPRENNTYGAVAISPGYTGTQASVAWLGKRIASHGFVVITIDTNTTLDQPDSRARQLNAALDYMINDASSAVRSRIDSSRLAVMGHSMGGGGSLRLASQRPDLKAAIPLTPWHLNKNWSSVRVPTLIIGADLDTIAPVLTHARPFYNSLPTSISKAYLELDGATHFAPNIPNKIIGKYSVAWLKRFVDNDTRYTQFLCPGPRDGLFGEVEEYRSTCPF</t>
        </is>
      </c>
      <c r="J28" s="15" t="inlineStr"/>
      <c r="K28" s="15" t="inlineStr"/>
    </row>
    <row r="29">
      <c r="A29" s="16" t="n">
        <v>2</v>
      </c>
      <c r="B29" s="16" t="inlineStr">
        <is>
          <t>superset</t>
        </is>
      </c>
      <c r="C29" s="16" t="inlineStr">
        <is>
          <t>TfCut_1;Cut-1.kw3</t>
        </is>
      </c>
      <c r="D29" s="16" t="inlineStr">
        <is>
          <t>E5BBQ2;-</t>
        </is>
      </c>
      <c r="E29" s="16" t="inlineStr">
        <is>
          <t>plasticome.v1_only</t>
        </is>
      </c>
      <c r="F29" s="16" t="n">
        <v>319</v>
      </c>
      <c r="G29" s="16" t="n">
        <v>58</v>
      </c>
      <c r="H29" s="16" t="inlineStr">
        <is>
          <t>near</t>
        </is>
      </c>
      <c r="I29" s="16" t="inlineStr">
        <is>
          <t>MPPHAARPGPAQNRRGCAMAVMTPRRERSSLLSRALQVTAAAATALVTAVSLAAPAHAANPYERGPNPTDALLEARSGPFSVSEENVSRLGASGFGGGTIYYPRENNTYGAVAISPGYTGTQASVAWLGKRIASHGFVVITIDTITTLDQPDSRARQLNAALDYMINDASSAVRSRIDSSRLAVMGHSMGGGGSLRLASQRPDLKAAIPLTPWHLNKNWSSVRVPTLIIGADLDTIAPVLTHARPFYNSLPTSISKAYLELDGATHFAPNIPNKIIGKYSVAWLKRFVDNDTRYTQFLCPGPRDGLFGEVEEYRSTCPF</t>
        </is>
      </c>
      <c r="J29" s="15" t="inlineStr"/>
      <c r="K29" s="15" t="inlineStr"/>
    </row>
    <row r="30">
      <c r="A30" s="16" t="n">
        <v>2</v>
      </c>
      <c r="B30" s="16" t="inlineStr">
        <is>
          <t>superset</t>
        </is>
      </c>
      <c r="C30" s="16" t="inlineStr">
        <is>
          <t>Cut1;WSH03-11;Tfu_0882</t>
        </is>
      </c>
      <c r="D30" s="16" t="inlineStr">
        <is>
          <t>JN129499.1;Q47RJ7_THEFY;G8GER6;-;AET05798.1;AAZ54920.1</t>
        </is>
      </c>
      <c r="E30" s="16" t="inlineStr">
        <is>
          <t>both</t>
        </is>
      </c>
      <c r="F30" s="16" t="n">
        <v>319</v>
      </c>
      <c r="G30" s="16" t="n">
        <v>58</v>
      </c>
      <c r="H30" s="16" t="inlineStr">
        <is>
          <t>near</t>
        </is>
      </c>
      <c r="I30" s="16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  <c r="J30" s="15" t="inlineStr"/>
      <c r="K30" s="15" t="inlineStr"/>
    </row>
    <row r="31">
      <c r="A31" s="14" t="n">
        <v>3</v>
      </c>
      <c r="B31" s="14" t="inlineStr">
        <is>
          <t>core</t>
        </is>
      </c>
      <c r="C31" s="14" t="inlineStr">
        <is>
          <t>Arylacylamidase</t>
        </is>
      </c>
      <c r="D31" s="14" t="inlineStr">
        <is>
          <t>P80008.1</t>
        </is>
      </c>
      <c r="E31" s="14" t="inlineStr">
        <is>
          <t>retrieving_only</t>
        </is>
      </c>
      <c r="F31" s="14" t="n">
        <v>28</v>
      </c>
      <c r="G31" s="14" t="n">
        <v>0</v>
      </c>
      <c r="H31" s="14" t="inlineStr"/>
      <c r="I31" s="14" t="inlineStr">
        <is>
          <t>MDVAEYAAHDATGLAELIREGQVSACEV</t>
        </is>
      </c>
      <c r="J31" s="15" t="inlineStr"/>
      <c r="K31" s="15" t="inlineStr"/>
    </row>
    <row r="32">
      <c r="A32" s="16" t="n">
        <v>3</v>
      </c>
      <c r="B32" s="16" t="inlineStr">
        <is>
          <t>superset</t>
        </is>
      </c>
      <c r="C32" s="16" t="inlineStr">
        <is>
          <t>aryl acylamidase</t>
        </is>
      </c>
      <c r="D32" s="16" t="inlineStr">
        <is>
          <t>WZH92451.1</t>
        </is>
      </c>
      <c r="E32" s="16" t="inlineStr">
        <is>
          <t>retrieving_only</t>
        </is>
      </c>
      <c r="F32" s="16" t="n">
        <v>479</v>
      </c>
      <c r="G32" s="16" t="n">
        <v>451</v>
      </c>
      <c r="H32" s="16" t="inlineStr">
        <is>
          <t>near</t>
        </is>
      </c>
      <c r="I32" s="16" t="inlineStr">
        <is>
          <t>MDVAEYAAHDATGLAELIREGQVSAAEVWTAAATALDAVEPELAAVAGERFDKPLDYDESGPFAGVPFALKDLIAHAGGVLSRSGSRLFGAGVAHPEDTHLVARFRRAGLAIGAITRSPEFGFNATTEAIAYGGPSRNPWATDRSPGGSSGASAALVASGALPMAHANDGGGSIRIPAAACGAVGLKPSRGRTTPGPDFADPLLGLGIEFAVTRTVRDCARLLDAVHGAEPGDRYLLPGPVRSYAEHAAAGSRPLRIAVTTTPMDAGRAVDPECVAAVNRVAERLAELGHVVEEAAPELDVAAFDKANLDAWCSFRADAVLGASAQLGVQPSREYLEATTLACVEYGKTLSAFDIFAADRVFNQTTRAVASFFTRYDVLLTPATSAPPIPLGHLDADDASLSAREWYDRIFDYGSFTALFNVTGMPAISLPLAESTAGLPIGIQFAGRYGDEATLLALAGDLERAMPWADRRPAVHVGR</t>
        </is>
      </c>
      <c r="J32" s="15" t="inlineStr"/>
      <c r="K32" s="15" t="inlineStr"/>
    </row>
    <row r="33">
      <c r="A33" s="16" t="n">
        <v>3</v>
      </c>
      <c r="B33" s="16" t="inlineStr">
        <is>
          <t>superset</t>
        </is>
      </c>
      <c r="C33" s="16" t="inlineStr">
        <is>
          <t>OoH</t>
        </is>
      </c>
      <c r="D33" s="16" t="inlineStr">
        <is>
          <t>BAI44731;C9K4Z3;-</t>
        </is>
      </c>
      <c r="E33" s="16" t="inlineStr">
        <is>
          <t>both</t>
        </is>
      </c>
      <c r="F33" s="16" t="n">
        <v>479</v>
      </c>
      <c r="G33" s="16" t="n">
        <v>451</v>
      </c>
      <c r="H33" s="16" t="inlineStr">
        <is>
          <t>near</t>
        </is>
      </c>
      <c r="I33" s="16" t="inlineStr">
        <is>
          <t>MDVAEYAAHDATGLAELIRDGQVSAAEVWTAAATALDAVEPELAAVAGERFDKPLDYDESGPFAGVPFALKDLIAHAGGVPSRSGSRLFGAGVAHPEDTHLVARFRRAGLAIGAITRSPEFGFNTTTEAIAYGGPSRNPWATDRSPGGSSGASAALVASGALPMAHANDGGGSIRIPAAACGAVGLKPSRGRTTPGPDLADPLLGLVIEFAVTRTVRDCARLLDAVHGAEPGDRYLLPGPVRSYAEHAAAGSRPLRIAVTTTPMDAGRAVDPECVAAVNRVAERLAELGHVVEEAAPELDVAAFDKAYLDASCSSLADDVLGASAQLAVQPSREYLEATTLACVEYGKTLSAFDIFAADRVFNQTTRAVAGFLTRYDVLLTPTTSAPPIPLGHLDADDASLSAREWYDRIFDYGSFTALFNVTGMPAISLPLAESTAGLPIGIQFAGRYGDEATLLALAGDLERAMPWADRRPAVHVGR</t>
        </is>
      </c>
      <c r="J33" s="15" t="inlineStr"/>
      <c r="K33" s="15" t="inlineStr"/>
    </row>
    <row r="34">
      <c r="A34" s="16" t="n">
        <v>3</v>
      </c>
      <c r="B34" s="16" t="inlineStr">
        <is>
          <t>superset</t>
        </is>
      </c>
      <c r="C34" s="16" t="inlineStr">
        <is>
          <t>aryl acylamidase;Arylacylamidase</t>
        </is>
      </c>
      <c r="D34" s="16" t="inlineStr">
        <is>
          <t>WP_011209364.1;Q5YVW2;-</t>
        </is>
      </c>
      <c r="E34" s="16" t="inlineStr">
        <is>
          <t>both</t>
        </is>
      </c>
      <c r="F34" s="16" t="n">
        <v>479</v>
      </c>
      <c r="G34" s="16" t="n">
        <v>451</v>
      </c>
      <c r="H34" s="16" t="inlineStr">
        <is>
          <t>near</t>
        </is>
      </c>
      <c r="I34" s="16" t="inlineStr">
        <is>
          <t>MDVAEYAAHDATGLAELIREGQVSAAEVWTAAATALDAVEPELAAVAGERFDKPLDYDESGPFAGVPFALKDLIAHAGGVPSRSGSRLFGAGVAHPEDTHLVARFRRAGLAIGAITRSPEFGFNATTEAIAYGGPSRNPWATDRSPGGSSGASAALVASGALPMAHANDGGGSIRIPAAACGAVGLKPSRGRTTPGPDFADPLLGLGIEFAVTRTVRDCARLLDAVHGAEPGDRYLLPGPVRSYAEHAAAGSRPLRIAVTTTPMDAGRAVDPECVAAVNRVAERLAELGHVVEEAAPELDVAAFDKANLDAWCSFLADAVLGASAQLGVQPSREYLEATTLACVEYGKTLSAFDIFTADRVFNQTTRAVAGFLTRYDVLLTPTTSAPPIPLGHLDADDASLSAREWYDRIFDYGSFTALFNVTGMPAISLPLAESTAGLPIGIQFAGRYGDEATLLALAGDLERAMPWADRRPAVHVGR</t>
        </is>
      </c>
      <c r="J34" s="15" t="inlineStr"/>
      <c r="K34" s="15" t="inlineStr"/>
    </row>
    <row r="35">
      <c r="A35" s="16" t="n">
        <v>3</v>
      </c>
      <c r="B35" s="16" t="inlineStr">
        <is>
          <t>superset</t>
        </is>
      </c>
      <c r="C35" s="16" t="inlineStr">
        <is>
          <t>PhaZAfa</t>
        </is>
      </c>
      <c r="D35" s="16" t="inlineStr">
        <is>
          <t>P94146;-</t>
        </is>
      </c>
      <c r="E35" s="16" t="inlineStr">
        <is>
          <t>plasticome.v1_only</t>
        </is>
      </c>
      <c r="F35" s="16" t="n">
        <v>635</v>
      </c>
      <c r="G35" s="16" t="n">
        <v>607</v>
      </c>
      <c r="H35" s="16" t="inlineStr">
        <is>
          <t>near</t>
        </is>
      </c>
      <c r="I35" s="16" t="inlineStr">
        <is>
          <t>MTSRPMRSLVIAFLTLVAAAAPALAGAGAWQNNLSLGGFNKVHLYTPDGDSPVGNGKALLIVLHGCTQSIDAYKTANLEVAAEEYGMVVAVPDAMNKAGFSCWSYWQGTKSRSAGDYKNLINLANTLSGDAARGIDPNQVYIAGLSSGASFANTTACLAPDVFAGVGVSAGPSVGTSSSGAIGTCEQADVESRCRDLGGGYQSAFDTQVASIAHGDADTTVDTCYNRQNAEGMAGLYGVSEVAGSTVINADGGSAEEFLWQDGRVSMLWFHGLDHSWSGGQGASGSYVSGASINYARYLGGFFAEHNARIDRNRVPTLAQVDVTASADRIQVSGQASDEDGTVSSVAIVIEGVNGGGATLAAAIDNNGYFQATSDPLADGLYTVAVTAADDDGGESEPAIRTVRVGPEPPASAPVLSDIAVSVDGQCATVSGQVVDENQDLAGVTVTFASGVRAAGIDGVRYSARACDLPGGAQNATVSAEDEGGLSSGDQIDFVIDAGQTATLDQHISAGRLDYTNYADCYLEYGADAFKLTEATVSGQCQWQDDDASCAGPVQACSGAGGGGDPQPQPGDECQTQSTYNYYHKVAGRAYSTGNYYAPDYFAQGSDEPMAGSTWGLTALYSEDGGNVWRLGECP</t>
        </is>
      </c>
      <c r="J35" s="15" t="inlineStr"/>
      <c r="K35" s="15" t="inlineStr"/>
    </row>
    <row r="36">
      <c r="A36" s="14" t="n">
        <v>4</v>
      </c>
      <c r="B36" s="14" t="inlineStr">
        <is>
          <t>core</t>
        </is>
      </c>
      <c r="C36" s="14" t="inlineStr">
        <is>
          <t>PET40</t>
        </is>
      </c>
      <c r="D36" s="14" t="inlineStr">
        <is>
          <t>WAU86704.1;-;8A2C;WAU86704</t>
        </is>
      </c>
      <c r="E36" s="14" t="inlineStr">
        <is>
          <t>both</t>
        </is>
      </c>
      <c r="F36" s="14" t="n">
        <v>263</v>
      </c>
      <c r="G36" s="14" t="n">
        <v>0</v>
      </c>
      <c r="H36" s="14" t="inlineStr"/>
      <c r="I36" s="14" t="inlineStr">
        <is>
          <t>MAENPYERGPAPTTSSIEASRGSFATSTVTVSRLAVSGFGGGTIYYPTSTTAGTFGAISIAPGFTALQSSIAWLGPRLASQGFVVFTIDTLTTSDQPDSRGRQLLAALDYLTQQSSVRSRIDSSRLGVVGHSMGGGGTLEAARSRPSLQAAIPLTGWNLTKTWSTVRVPTLVVGAQADTVAPVASHSIPFYNSLPSSLDKAYLELRGASHFAPNSSNTTIAKYTLSWLKRFIDNDTRYEQFLCPIPSTSLSISDYRGNCPHNG</t>
        </is>
      </c>
      <c r="J36" s="15" t="inlineStr"/>
      <c r="K36" s="15" t="inlineStr"/>
    </row>
    <row r="37">
      <c r="A37" s="16" t="n">
        <v>4</v>
      </c>
      <c r="B37" s="16" t="inlineStr">
        <is>
          <t>superset</t>
        </is>
      </c>
      <c r="C37" s="16" t="inlineStr">
        <is>
          <t>ESM140</t>
        </is>
      </c>
      <c r="D37" s="16" t="inlineStr">
        <is>
          <t>WP_247056560.1</t>
        </is>
      </c>
      <c r="E37" s="16" t="inlineStr">
        <is>
          <t>retrieving_only</t>
        </is>
      </c>
      <c r="F37" s="16" t="n">
        <v>308</v>
      </c>
      <c r="G37" s="16" t="n">
        <v>45</v>
      </c>
      <c r="H37" s="16" t="inlineStr">
        <is>
          <t>near</t>
        </is>
      </c>
      <c r="I37" s="16" t="inlineStr">
        <is>
          <t>MSVLTSPPTSSGSGEKTRRLGWRSKTAGVVVAALALTTGVVAPAPAAANPYERGPAPTTSSIEASRGSFATSTTTVSRLAVSGFGGGTIYYPTSTASGTFGAVSIAPGFTATQSSMAWLGPRLASQGFVVFTIDTITTSDQPDSRGRQLLSSLDYLTQQSSVRSRIDSSRLGVVGHSMGGGGTLEAARSRPSLQAAVPLTGWNLTKSWSTVRVPTLVVGAQADTVAPVASHSIPFYTSLPSSLDKAYLELRGASHFAPNSANTTIAKYTLSWLKRFIDDDTRYEQFLCPIPGTSTTISDYRGNCPHAG</t>
        </is>
      </c>
      <c r="J37" s="15" t="inlineStr"/>
      <c r="K37" s="15" t="inlineStr"/>
    </row>
    <row r="38">
      <c r="A38" s="16" t="n">
        <v>4</v>
      </c>
      <c r="B38" s="16" t="inlineStr">
        <is>
          <t>superset</t>
        </is>
      </c>
      <c r="C38" s="16" t="inlineStr">
        <is>
          <t>ESM167</t>
        </is>
      </c>
      <c r="D38" s="16" t="inlineStr">
        <is>
          <t>WP_091317053.1</t>
        </is>
      </c>
      <c r="E38" s="16" t="inlineStr">
        <is>
          <t>retrieving_only</t>
        </is>
      </c>
      <c r="F38" s="16" t="n">
        <v>309</v>
      </c>
      <c r="G38" s="16" t="n">
        <v>46</v>
      </c>
      <c r="H38" s="16" t="inlineStr">
        <is>
          <t>near</t>
        </is>
      </c>
      <c r="I38" s="16" t="inlineStr">
        <is>
          <t>MSALTSPPTTSGSREKISRRRGWRAKTAGVVLAALALTTAVAAPAPAAANPYERGPDPTTASIEASRGSFATSTVTVSRLAVSGFGGGTIYYPTTTTAGTFGAISIAPGFTATQSSMAWLGPRLASQGFVVFTIDTITTSDQPDSRGRQLLASLDYLTQQSSVRSRIDSSRLGVVGHSMGGGGTLEAARSRPSLQAAVPLTGWNLTKNWSTLRVPTLVVGAQSDTIAPVASHSIPFYTSLPSTLDRAYLELRGASHFAPNTSNTTIAKYTLSWLKRFIDNDTRYEQFLCPIPSSSLSISDYRGNCPHNG</t>
        </is>
      </c>
      <c r="J38" s="15" t="inlineStr"/>
      <c r="K38" s="15" t="inlineStr"/>
    </row>
    <row r="39">
      <c r="A39" s="16" t="n">
        <v>4</v>
      </c>
      <c r="B39" s="16" t="inlineStr">
        <is>
          <t>superset</t>
        </is>
      </c>
      <c r="C39" s="16" t="inlineStr">
        <is>
          <t>554</t>
        </is>
      </c>
      <c r="D39" s="16" t="inlineStr">
        <is>
          <t>WP_086849962.1</t>
        </is>
      </c>
      <c r="E39" s="16" t="inlineStr">
        <is>
          <t>retrieving_only</t>
        </is>
      </c>
      <c r="F39" s="16" t="n">
        <v>309</v>
      </c>
      <c r="G39" s="16" t="n">
        <v>46</v>
      </c>
      <c r="H39" s="16" t="inlineStr">
        <is>
          <t>near</t>
        </is>
      </c>
      <c r="I39" s="16" t="inlineStr">
        <is>
          <t>MSAPTSPPTTSGLGEKISRRRGWRAKAAGVVLAALALTTAVAAPAPAAANPYERGPDPTDSSIEATRGSFATSTDTVSRLAVSGFGGGTIYYPTTTTAGTFGAISIAPGFTATQSSIAWLGPRLASQGFVVFTIDTLTTSDQPDSRGRQLLASLDYLTQQSSVRSRIDSSRLGVVGHSMGGGGTLEAARSRPSLQAAVPLTGWNLTKNWSTLRVPTLVVGAQSDTIAPVASHSIPFYTSLPSTLDRAYLELRGASHFAPNSSNTTIAKYTLSWLKRFIDNDTRYEQFLCPIPSTSLSISDYRGNCPHNG</t>
        </is>
      </c>
      <c r="J39" s="15" t="inlineStr"/>
      <c r="K39" s="15" t="inlineStr"/>
    </row>
    <row r="40">
      <c r="A40" s="16" t="n">
        <v>4</v>
      </c>
      <c r="B40" s="16" t="inlineStr">
        <is>
          <t>superset</t>
        </is>
      </c>
      <c r="C40" s="16" t="inlineStr">
        <is>
          <t>PC4</t>
        </is>
      </c>
      <c r="D40" s="16" t="inlineStr">
        <is>
          <t>WP_125313231.1</t>
        </is>
      </c>
      <c r="E40" s="16" t="inlineStr">
        <is>
          <t>retrieving_only</t>
        </is>
      </c>
      <c r="F40" s="16" t="n">
        <v>309</v>
      </c>
      <c r="G40" s="16" t="n">
        <v>46</v>
      </c>
      <c r="H40" s="16" t="inlineStr">
        <is>
          <t>near</t>
        </is>
      </c>
      <c r="I40" s="16" t="inlineStr">
        <is>
          <t>MSVLTSPPTSSGPGEKISRRRPWRVKAAGVIAAALAVTTAVASPAPAADNPYERGPDPTTASIEASRGSFATSTTTVSRLAVSGFGGGTIYYPTSTTAGTFGAISIAPGFTATQSSIAWLGPRLASQGFVVFTIDTLTTSDQPDSRGRQLLASLDYLTQQSSVRSRIDSSRLGVVGHSMGGGGTLEAARSRPSLQAAVPLTGWNLTKNWSTVSVPTLVVGAEADTIAPVATHSIPFYTSLPSTLDKAYLELRGASHFAPNTSNTTIAKYTLSWLKRFIDNDTRYEQFLCPIPGTSLSISDYRGTCPHHG</t>
        </is>
      </c>
      <c r="J40" s="15" t="inlineStr"/>
      <c r="K40" s="15" t="inlineStr"/>
    </row>
    <row r="41">
      <c r="A41" s="14" t="n">
        <v>5</v>
      </c>
      <c r="B41" s="14" t="inlineStr">
        <is>
          <t>core</t>
        </is>
      </c>
      <c r="C41" s="14" t="inlineStr">
        <is>
          <t>214</t>
        </is>
      </c>
      <c r="D41" s="14" t="inlineStr"/>
      <c r="E41" s="14" t="inlineStr">
        <is>
          <t>retrieving_only</t>
        </is>
      </c>
      <c r="F41" s="14" t="n">
        <v>248</v>
      </c>
      <c r="G41" s="14" t="n">
        <v>0</v>
      </c>
      <c r="H41" s="14" t="inlineStr"/>
      <c r="I41" s="14" t="inlineStr">
        <is>
          <t>MARAAPISPLQRVNFYSAGYRLDGLLYTPRHLPAGERRPGVVLLVGYTYLKTMVMPDIAKVLNAAGYVALVFDYRGFGESEGPRGRLIPLEQVADARAALTFLAEQSMVDPDRLAVIGISLGGAHAITTAALDQRVRAVVAIEPPGHGAHWLRSLRRHWEWSQFLSRLTEDRRQRVLSGVSSTVDPLEIVLPDPESQAFLDQVAAEFPQMKVTLPLESAEALIEYVPEDLAGRIAPRPLLLEHHHHHH</t>
        </is>
      </c>
      <c r="J41" s="15" t="inlineStr"/>
      <c r="K41" s="15" t="inlineStr"/>
    </row>
    <row r="42">
      <c r="A42" s="16" t="n">
        <v>5</v>
      </c>
      <c r="B42" s="16" t="inlineStr">
        <is>
          <t>superset</t>
        </is>
      </c>
      <c r="C42" s="16" t="inlineStr">
        <is>
          <t>Enzyme 202</t>
        </is>
      </c>
      <c r="D42" s="16" t="inlineStr">
        <is>
          <t>YNPsite05_CeleraDRAFT_401410;-;7QJM</t>
        </is>
      </c>
      <c r="E42" s="16" t="inlineStr">
        <is>
          <t>plasticome.v1_only</t>
        </is>
      </c>
      <c r="F42" s="16" t="n">
        <v>380</v>
      </c>
      <c r="G42" s="16" t="n">
        <v>132</v>
      </c>
      <c r="H42" s="16" t="inlineStr">
        <is>
          <t>near</t>
        </is>
      </c>
      <c r="I42" s="16" t="inlineStr">
        <is>
          <t>MVDITGNGMAATAPTDERIVDKPLPQPQIRSGNVRAMPAARKLAQEHGIDLSTLTGSGPGGVIVKEDVERAITARAVPV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SADN</t>
        </is>
      </c>
      <c r="J42" s="15" t="inlineStr"/>
      <c r="K42" s="15" t="inlineStr"/>
    </row>
    <row r="43">
      <c r="A43" s="16" t="n">
        <v>5</v>
      </c>
      <c r="B43" s="16" t="inlineStr">
        <is>
          <t>superset</t>
        </is>
      </c>
      <c r="C43" s="16" t="inlineStr">
        <is>
          <t>202</t>
        </is>
      </c>
      <c r="D43" s="16" t="inlineStr"/>
      <c r="E43" s="16" t="inlineStr">
        <is>
          <t>retrieving_only</t>
        </is>
      </c>
      <c r="F43" s="16" t="n">
        <v>388</v>
      </c>
      <c r="G43" s="16" t="n">
        <v>140</v>
      </c>
      <c r="H43" s="16" t="inlineStr">
        <is>
          <t>near</t>
        </is>
      </c>
      <c r="I43" s="16" t="inlineStr">
        <is>
          <t>MVDITGNGMAATAPTDERIVDKPLPQPQIRSGNVRAMPAARKLAQEHGIDLSTLTGSGPGGVIVKEDVERAITARAVPV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SADNLEHHHHHH</t>
        </is>
      </c>
      <c r="J43" s="15" t="inlineStr"/>
      <c r="K43" s="15" t="inlineStr"/>
    </row>
    <row r="44">
      <c r="A44" s="16" t="n">
        <v>5</v>
      </c>
      <c r="B44" s="16" t="inlineStr">
        <is>
          <t>superset</t>
        </is>
      </c>
      <c r="C44" s="16" t="inlineStr">
        <is>
          <t>Enzyme 214 like</t>
        </is>
      </c>
      <c r="D44" s="16" t="inlineStr">
        <is>
          <t>YNPsite06_CeleraDRAFT_160970;-</t>
        </is>
      </c>
      <c r="E44" s="16" t="inlineStr">
        <is>
          <t>plasticome.v1_only</t>
        </is>
      </c>
      <c r="F44" s="16" t="n">
        <v>456</v>
      </c>
      <c r="G44" s="16" t="n">
        <v>208</v>
      </c>
      <c r="H44" s="16" t="inlineStr">
        <is>
          <t>near</t>
        </is>
      </c>
      <c r="I44" s="16" t="inlineStr">
        <is>
          <t>MPTEVVMPKWGLSMQEGKINLWLKREGEAVQKGEPIAEVETEKITNVVEAPTSGILARQCYPEGSIVAVTKVIAYITAPGEHLADMVDITGNGMAATAPTDERIVDKPLPQPPGRSGTVRAMPAARKLAQEHGIDLSSLTGSGPGGVIVKEDVERAITARAAPVSPLQRVNFYSAGYRLDGLLYTPRHLPAGERRPGVVLLVGYTYLKTMVMPDIAKVLNAAGYVALVFDYRGFGESEGPRGRLIPLEQVADARAALTFLAEQSMVDPDRLALIGISLGGAHAITTAALDQRVRAVVAIEPPGHGARWLRSLRRHWEWSQFLSRLTEDRRQRVLSGVSSTVDPLEIVLPDPESQAFLDQVAAEFPQMKVTLPLESAEALIEYVPEDLVNRIAPRPLLIIHGDADQLVPVAEAQAIAERAGSSAQLEIIPGMSHFNWVMPGSPGFIRVTDSVVKFLR</t>
        </is>
      </c>
      <c r="J44" s="15" t="inlineStr"/>
      <c r="K44" s="15" t="inlineStr"/>
    </row>
    <row r="45">
      <c r="A45" s="14" t="n">
        <v>6</v>
      </c>
      <c r="B45" s="14" t="inlineStr">
        <is>
          <t>core</t>
        </is>
      </c>
      <c r="C45" s="14" t="inlineStr">
        <is>
          <t>TGL</t>
        </is>
      </c>
      <c r="D45" s="14" t="inlineStr">
        <is>
          <t>WAT79796.1</t>
        </is>
      </c>
      <c r="E45" s="14" t="inlineStr">
        <is>
          <t>retrieving_only</t>
        </is>
      </c>
      <c r="F45" s="14" t="n">
        <v>213</v>
      </c>
      <c r="G45" s="14" t="n">
        <v>0</v>
      </c>
      <c r="H45" s="14" t="inlineStr"/>
      <c r="I45" s="14" t="inlineStr">
        <is>
          <t>MMFVKKRSLQILIALALVIGSMAFIQPKEVKAAEHNPVVMVHGIGGASYNFYSIKSYLVGQGWDRNQLYAIDFIDKTGNNRNNGPRLSRFVKDVLDKTGAKKVDIVAHSMGGANTLYYIKNLDGGDKIENVVTIGGANGLVSSRALPGTDPNQKILYTSVYSSADLIVVNSLSRLIGARNVLIHGVGHIGLLTSSQVKGYIKEGLNGGGQNTN</t>
        </is>
      </c>
      <c r="J45" s="15" t="inlineStr"/>
      <c r="K45" s="15" t="inlineStr"/>
    </row>
    <row r="46">
      <c r="A46" s="16" t="n">
        <v>6</v>
      </c>
      <c r="B46" s="16" t="inlineStr">
        <is>
          <t>superset</t>
        </is>
      </c>
      <c r="C46" s="16" t="inlineStr">
        <is>
          <t>PBATHBp</t>
        </is>
      </c>
      <c r="D46" s="16" t="inlineStr">
        <is>
          <t>A0A1E1FNX8;-;BAV72205.1</t>
        </is>
      </c>
      <c r="E46" s="16" t="inlineStr">
        <is>
          <t>both</t>
        </is>
      </c>
      <c r="F46" s="16" t="n">
        <v>215</v>
      </c>
      <c r="G46" s="16" t="n">
        <v>2</v>
      </c>
      <c r="H46" s="16" t="inlineStr">
        <is>
          <t>near</t>
        </is>
      </c>
      <c r="I46" s="16" t="inlineStr">
        <is>
          <t>MKVILFKKRSLQILVALALVIGSMAFIQPKEVKAAEHNPVVMVHGIGGASYNFASIKSYLVGQGWDRNQLYAIDFIDKTGNNRNNGPRLSKFVQDVLDKTGAKKVDIVAHSMGGANTLYYIKNLDGGDKIENVVTIGGANGLVSSRALPGTDPNQKILYTSVYSSADLIVVNSLSRLIGAKNVLIHGVGHIGLLTSSQVKGYIKEGLNGGGQNTN</t>
        </is>
      </c>
      <c r="J46" s="15" t="inlineStr"/>
      <c r="K46" s="15" t="inlineStr"/>
    </row>
    <row r="47">
      <c r="A47" s="16" t="n">
        <v>6</v>
      </c>
      <c r="B47" s="16" t="inlineStr">
        <is>
          <t>superset</t>
        </is>
      </c>
      <c r="C47" s="16" t="inlineStr">
        <is>
          <t>LipMRD9</t>
        </is>
      </c>
      <c r="D47" s="16" t="inlineStr">
        <is>
          <t>APJ12152.1;-;APJ12152</t>
        </is>
      </c>
      <c r="E47" s="16" t="inlineStr">
        <is>
          <t>both</t>
        </is>
      </c>
      <c r="F47" s="16" t="n">
        <v>215</v>
      </c>
      <c r="G47" s="16" t="n">
        <v>2</v>
      </c>
      <c r="H47" s="16" t="inlineStr">
        <is>
          <t>near</t>
        </is>
      </c>
      <c r="I47" s="16" t="inlineStr">
        <is>
          <t>MKVMFVKKRSLQILIALALVIGSMAFIQPKEVKAAEHNPVVMVHGIGGASYNFFSIKSYLATQGWDRNQLYAIDFIDKTGNNRNNGPRLSRFVKDVLDKTGAKKVDIVAHSMGGANTLYYIKNLDGGDKIENVVTIGGANGLVSSRALPGTDPNQKILYTSVYSSADLIVVNSLSRLIGARNVLIHGVGHIGLLTSSQVKGYIKEGLNGGGQNTN</t>
        </is>
      </c>
      <c r="J47" s="15" t="inlineStr"/>
      <c r="K47" s="15" t="inlineStr"/>
    </row>
    <row r="48">
      <c r="A48" s="14" t="n">
        <v>7</v>
      </c>
      <c r="B48" s="14" t="inlineStr">
        <is>
          <t>core</t>
        </is>
      </c>
      <c r="C48" s="14" t="inlineStr">
        <is>
          <t>PE-H;B7O88_11480</t>
        </is>
      </c>
      <c r="D48" s="14" t="inlineStr">
        <is>
          <t>N20M5AZM016;A4Y035;2FX5</t>
        </is>
      </c>
      <c r="E48" s="14" t="inlineStr">
        <is>
          <t>plasticome.v1_only</t>
        </is>
      </c>
      <c r="F48" s="14" t="n">
        <v>258</v>
      </c>
      <c r="G48" s="14" t="n">
        <v>0</v>
      </c>
      <c r="H48" s="14" t="inlineStr"/>
      <c r="I48" s="14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  <c r="J48" s="15" t="inlineStr"/>
      <c r="K48" s="15" t="inlineStr"/>
    </row>
    <row r="49">
      <c r="A49" s="16" t="n">
        <v>7</v>
      </c>
      <c r="B49" s="16" t="inlineStr">
        <is>
          <t>superset</t>
        </is>
      </c>
      <c r="C49" s="16" t="inlineStr">
        <is>
          <t>HP</t>
        </is>
      </c>
      <c r="D49" s="16" t="inlineStr">
        <is>
          <t>ATH80290</t>
        </is>
      </c>
      <c r="E49" s="16" t="inlineStr">
        <is>
          <t>retrieving_only</t>
        </is>
      </c>
      <c r="F49" s="16" t="n">
        <v>280</v>
      </c>
      <c r="G49" s="16" t="n">
        <v>22</v>
      </c>
      <c r="H49" s="16" t="inlineStr">
        <is>
          <t>near</t>
        </is>
      </c>
      <c r="I49" s="16" t="inlineStr">
        <is>
          <t>MLDLKLGGLAAACLLVCSTALAAPLPDTPGAPLPAVANFDRSGPYATSNQSEGPSCRIYRPSNLGQGGVRHPVILWGNGTGTGPSTYAGLLSHWASHGFVVAAAETSNAGTGREMLACLDYLVRENDNPYGTYAGKLNTGRVGTSGHSQGGGGSIMAGQDTRVRTTAPIQPYTIGLGHDSASQRRQQGPMFLMSGGGDTIAIPYLNAQPVYLRANVPVFWGERRYVSHFEPVGDGGAYRGPSTAWFRFQLMDDQSARGTFYGTLCSLCSSLLWSVERRGF</t>
        </is>
      </c>
      <c r="J49" s="15" t="inlineStr"/>
      <c r="K49" s="15" t="inlineStr"/>
    </row>
    <row r="50">
      <c r="A50" s="16" t="n">
        <v>7</v>
      </c>
      <c r="B50" s="16" t="inlineStr">
        <is>
          <t>superset</t>
        </is>
      </c>
      <c r="C50" s="16" t="inlineStr">
        <is>
          <t>PmC</t>
        </is>
      </c>
      <c r="D50" s="16" t="inlineStr">
        <is>
          <t>ABP86951</t>
        </is>
      </c>
      <c r="E50" s="16" t="inlineStr">
        <is>
          <t>retrieving_only</t>
        </is>
      </c>
      <c r="F50" s="16" t="n">
        <v>280</v>
      </c>
      <c r="G50" s="16" t="n">
        <v>22</v>
      </c>
      <c r="H50" s="16" t="inlineStr">
        <is>
          <t>near</t>
        </is>
      </c>
      <c r="I50" s="16" t="inlineStr">
        <is>
          <t>MLDLKLGGLAAACLLVCSTALAAPLPDTPGAPFPAVANFDRSGPYATSNQSEGPSCRIYRPSNLGQGGVRHPVILWGNGTGTGPSTYAGLLSHWASHGFVVAAAETSNAGTGREMLACLDYLVRENDNPYGTYAGKLNTGRVGTSGHSQGGGGSIMAGQDTRVRTTAPIQPYTIGLGHDSASQRRQQGPMFLMSGGGDTIAIPYLNAQPVYLRANVPVFWGERRYVSHFEPVGDGGAYRGPSTAWFRFQLMDDQSARGTFYGTLCSLCSSLLWSVERRGF</t>
        </is>
      </c>
      <c r="J50" s="15" t="inlineStr"/>
      <c r="K50" s="15" t="inlineStr"/>
    </row>
    <row r="51">
      <c r="A51" s="14" t="n">
        <v>8</v>
      </c>
      <c r="B51" s="14" t="inlineStr">
        <is>
          <t>core</t>
        </is>
      </c>
      <c r="C51" s="14" t="inlineStr">
        <is>
          <t>PHL-7;PES-H1;PES-H2</t>
        </is>
      </c>
      <c r="D51" s="14" t="inlineStr">
        <is>
          <t>7NEI_A/B;7CUV_A;MBO2503201.1;SAY37592.1;-;7NEI</t>
        </is>
      </c>
      <c r="E51" s="14" t="inlineStr">
        <is>
          <t>plasticome.v1_only</t>
        </is>
      </c>
      <c r="F51" s="14" t="n">
        <v>259</v>
      </c>
      <c r="G51" s="14" t="n">
        <v>0</v>
      </c>
      <c r="H51" s="14" t="inlineStr"/>
      <c r="I51" s="14" t="inlineStr">
        <is>
          <t>MANPYERGPDPTESSIEAVRGPFAVAQTTVSRLQADGFGGGTIYYPTDTSQGTFGAVAISPGFTAGQESIAWLGPRIASQGFVVITIDTITRLDQPDSRGRQLQAALDHLRTNSVVRNRIDPNRMAVMGHSMGGGGALSAAANNTSLEAAIPLQGWHTRKNWSSVRTPTLVVGAQLDTIAPVSSHSEAFYNSLPSDLDKAYMELRGASHLVSNTPDTTTAKYSIAWLKRFVDDDLRYEQFLCPAPDDFAISEYRSTCPF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  <c r="J51" s="15" t="inlineStr"/>
      <c r="K51" s="15" t="inlineStr"/>
    </row>
    <row r="52">
      <c r="A52" s="16" t="n">
        <v>8</v>
      </c>
      <c r="B52" s="16" t="inlineStr">
        <is>
          <t>superset</t>
        </is>
      </c>
      <c r="C52" s="16" t="inlineStr">
        <is>
          <t>PHL-31;PHL-3</t>
        </is>
      </c>
      <c r="D52" s="16" t="inlineStr">
        <is>
          <t>SAY37583.1;-</t>
        </is>
      </c>
      <c r="E52" s="16" t="inlineStr">
        <is>
          <t>both</t>
        </is>
      </c>
      <c r="F52" s="16" t="n">
        <v>259</v>
      </c>
      <c r="G52" s="16" t="n">
        <v>0</v>
      </c>
      <c r="H52" s="16" t="inlineStr">
        <is>
          <t>near</t>
        </is>
      </c>
      <c r="I52" s="16" t="inlineStr">
        <is>
          <t>MENPYERGPDPTESSIEAVRGPFAVAQTTVSRLQADGFGGGTIYYPTDTSQGTFGAVAISPGFTAGQESIAWLGPRIASQGFVVITIDTITRLDQPDSRGRQLQAALDHLRTNSVVRNRIDPNRMAVMGHSMGGGGALSAAANNTSLEAAIPLQGWHTRKNWSSVRTPTLVVGAQLDTIAPVSSHSEAFYNSLPSDLDKAYMELRGASHFVSNTPDTTTAKYSIAWLKRFVDNDLRYEQFLCPAPDDFAISEYRATCPF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  <c r="J52" s="15" t="inlineStr"/>
      <c r="K52" s="15" t="inlineStr"/>
    </row>
    <row r="53">
      <c r="A53" s="16" t="n">
        <v>8</v>
      </c>
      <c r="B53" s="16" t="inlineStr">
        <is>
          <t>superset</t>
        </is>
      </c>
      <c r="C53" s="16" t="inlineStr">
        <is>
          <t>PHL-7</t>
        </is>
      </c>
      <c r="D53" s="16" t="inlineStr">
        <is>
          <t>7NEI</t>
        </is>
      </c>
      <c r="E53" s="16" t="inlineStr">
        <is>
          <t>retrieving_only</t>
        </is>
      </c>
      <c r="F53" s="16" t="n">
        <v>267</v>
      </c>
      <c r="G53" s="16" t="n">
        <v>8</v>
      </c>
      <c r="H53" s="16" t="inlineStr">
        <is>
          <t>prefix</t>
        </is>
      </c>
      <c r="I53" s="16" t="inlineStr">
        <is>
          <t>MANPYERGPDPTESSIEAVRGPFAVAQTTVSRLQADGFGGGTIYYPTDTSQGTFGAVAISPGFTAGQESIAWLGPRIASQGFVVITIDTITRLDQPDSRGRQLQAALDHLRTNSVVRNRIDPNRMAVMGHSMGGGGALSAAANNTSLEAAIPLQGWHTRKNWSSVRTPTLVVGAQLDTIAPVSSHSEAFYNSLPSDLDKAYMELRGASHLVSNTPDTTTAKYSIAWLKRFVDDDLRYEQFLCPAPDDFAISEYRSTCPFLEHHHHHH</t>
        </is>
      </c>
      <c r="J53" s="15" t="inlineStr"/>
      <c r="K53" s="15" t="inlineStr"/>
    </row>
    <row r="54">
      <c r="A54" s="14" t="n">
        <v>9</v>
      </c>
      <c r="B54" s="14" t="inlineStr">
        <is>
          <t>core</t>
        </is>
      </c>
      <c r="C54" s="14" t="inlineStr">
        <is>
          <t>TEP111</t>
        </is>
      </c>
      <c r="D54" s="14" t="inlineStr">
        <is>
          <t>WP_260422593.1</t>
        </is>
      </c>
      <c r="E54" s="14" t="inlineStr">
        <is>
          <t>retrieving_only</t>
        </is>
      </c>
      <c r="F54" s="14" t="n">
        <v>424</v>
      </c>
      <c r="G54" s="14" t="n">
        <v>0</v>
      </c>
      <c r="H54" s="14" t="inlineStr"/>
      <c r="I54" s="14" t="inlineStr">
        <is>
          <t>MFTIAVATGSASAADNPYQRGPDPTRASVASENGPFANTSVAVPTGYGFNGGRIYYPTDTSQGTFGAIAISPGYTALFSVELAWMGPWLASHGFVVIGIETNSRNDFDTARGTQLLAALDYLTQQSPVRDRVDASRLAVAGHSMGGGGALSAAMRRSSLKAAVGIAPYSPSSNLATDRVPTMVFSGQADTVVTPSYATGLYNSLPTTTESAYLEVAGADHGFMVGRSNPVLIRTMLPFLKIFIDNDARYSQFLCPLLDSSGVVTYRSTCPLLPTPPTSPTATPTTTPTTPPPTSPPGAASQIVGAQSGRCVDVPNASRANGTRVQLYDCNRQSNQSWTYTSTKQLRVYGDMCLDAAGSGNGAAVQIYGCHSQTNQQWNVNSNGTISSVQSGRCLDVWSTANGAQIQLYDCHGQTNQRFSLTPLA</t>
        </is>
      </c>
      <c r="J54" s="15" t="inlineStr"/>
      <c r="K54" s="15" t="inlineStr"/>
    </row>
    <row r="55">
      <c r="A55" s="16" t="n">
        <v>9</v>
      </c>
      <c r="B55" s="16" t="inlineStr">
        <is>
          <t>superset</t>
        </is>
      </c>
      <c r="C55" s="16" t="inlineStr">
        <is>
          <t>1591</t>
        </is>
      </c>
      <c r="D55" s="16" t="inlineStr">
        <is>
          <t>WP_091283529.1</t>
        </is>
      </c>
      <c r="E55" s="16" t="inlineStr">
        <is>
          <t>retrieving_only</t>
        </is>
      </c>
      <c r="F55" s="16" t="n">
        <v>463</v>
      </c>
      <c r="G55" s="16" t="n">
        <v>39</v>
      </c>
      <c r="H55" s="16" t="inlineStr">
        <is>
          <t>near</t>
        </is>
      </c>
      <c r="I55" s="16" t="inlineStr">
        <is>
          <t>MRGHAHPPPPGNTSAGRVAPGLRGRLAKLAAAGIAAAVGLFTIAVATGSASAADNPYQRGPDPTRASVASENGPFANTSVAVPTGYGFNGGRIYYPTDTSQGTFGAIAISPGYTALFSVELAWMGPWLASHGFVVIGIETNSRNDFDTARGTQLLAALDYLTQQGPVRDRVDSSRLSVAGHSMGGGGALSAAMRRSSLKAAVGIAPYSPSSNLATDRVPTMVFSGQADTVVTPSYATGLYNSLPSTTESAYLEVAGADHGFMVGRSNPVLIRTMLPFLKIFVDNDARYSQFLCPLLDTSGVVTYRSTCPLLPTPPTSPTATPTTTPATPPTTPPPGTASQLVGAQSGRCVDVPNASRANGTRVQLWDCNRQSNQLWTYTSTKQLRVYGDMCLDAAGTGNGAAVQIYGCHGQANQQWNVNSNGTVSNVQSGRCLDVWSTANGAQIQLYDCHGQTNQRFNLTPLA</t>
        </is>
      </c>
      <c r="J55" s="15" t="inlineStr"/>
      <c r="K55" s="15" t="inlineStr"/>
    </row>
    <row r="56">
      <c r="A56" s="16" t="n">
        <v>9</v>
      </c>
      <c r="B56" s="16" t="inlineStr">
        <is>
          <t>superset</t>
        </is>
      </c>
      <c r="C56" s="16" t="inlineStr">
        <is>
          <t>1594</t>
        </is>
      </c>
      <c r="D56" s="16" t="inlineStr">
        <is>
          <t>WP_083302694.1</t>
        </is>
      </c>
      <c r="E56" s="16" t="inlineStr">
        <is>
          <t>retrieving_only</t>
        </is>
      </c>
      <c r="F56" s="16" t="n">
        <v>463</v>
      </c>
      <c r="G56" s="16" t="n">
        <v>39</v>
      </c>
      <c r="H56" s="16" t="inlineStr">
        <is>
          <t>near</t>
        </is>
      </c>
      <c r="I56" s="16" t="inlineStr">
        <is>
          <t>MRGHAHPPPPGNTRSDRVPPGFRGRLAKLAAAGIAAAVGLFTIAVATGSASAADNPYQRGPDPTRASVASENGPFANTSVAVPTGYGFNGGRIYYPTDTSQGTFGAIAISPGYTALFSVELAWMGPWLASHGFVVIGIETNSRNDFDTARGTQLLAALDYLTQQSPVRDRVDASRLAVAGHSMGGGGALSAAMRRSSLKAAVGIAPYSPSSNLATDRVPTMVFSGQADTVVTPSYATGLYNSLPTTTESAYLEVAGADHGFMVGRSNPVLIRTMLPFLKIFIDNDARYSQFLCPLLDSSGVVTYRSTCPLLPTPPTSPTATPTTTPTTPPPTSPPGAASQIVGAQSGRCVDVPNASRANGTRVQLYDCNRQSNQSWTYTSTKQLRVYGDMCLDAAGSGNGAAVQIYGCHSQTNQQWNVNSNGTISSVQSGRCLDVWSTANGAQIQLYDCHGQTNQRFSLTPLA</t>
        </is>
      </c>
      <c r="J56" s="15" t="inlineStr"/>
      <c r="K56" s="15" t="inlineStr"/>
    </row>
    <row r="57">
      <c r="A57" s="14" t="n">
        <v>10</v>
      </c>
      <c r="B57" s="14" t="inlineStr">
        <is>
          <t>core</t>
        </is>
      </c>
      <c r="C57" s="14" t="inlineStr">
        <is>
          <t>ESM024</t>
        </is>
      </c>
      <c r="D57" s="14" t="inlineStr">
        <is>
          <t>MBO4274871.1</t>
        </is>
      </c>
      <c r="E57" s="14" t="inlineStr">
        <is>
          <t>retrieving_only</t>
        </is>
      </c>
      <c r="F57" s="14" t="n">
        <v>432</v>
      </c>
      <c r="G57" s="14" t="n">
        <v>0</v>
      </c>
      <c r="H57" s="14" t="inlineStr"/>
      <c r="I57" s="14" t="inlineStr">
        <is>
          <t>MAGAAGWPSTASAADNPYQRGPAPTAASIAADRGPFATAQVTVPRGNGFGGGVIYYPTDTSQGTFGAIAIAPGFSTAWSYYAWQGPRLASFGFVVIGIETNTLNDYADARAAQLLAALDYLVNSSSVRDRVDRNRLAVGGHSMGGGGAILAANQRPSLLTAVGQAPYVPDGSLSGIKSPTIIFAGQTDGTVTPQYAQNAYNTIPGSVERAYVEIANEGHGFPAGGGGGNSGAFARTMMIWLKLFVDKDTRYAPFLCPALTNANGISKYMASCPLDPPGGGPTASPTSTPTSTPTSTPTGSPPTGSTSSLRGVASGRCLDVNGASQSNGATVLIWDCNGQSNQKWTSTSASELRVYGGKCLDVNGGGTADGTAVIIWDCNGQNNQKWRFNSDSSITAVGANKCLDVSANGTANGTRVQIWSCTGGGNQKWTRV</t>
        </is>
      </c>
      <c r="J57" s="15" t="inlineStr"/>
      <c r="K57" s="15" t="inlineStr"/>
    </row>
    <row r="58">
      <c r="A58" s="16" t="n">
        <v>10</v>
      </c>
      <c r="B58" s="16" t="inlineStr">
        <is>
          <t>superset</t>
        </is>
      </c>
      <c r="C58" s="16" t="inlineStr">
        <is>
          <t>1868</t>
        </is>
      </c>
      <c r="D58" s="16" t="inlineStr">
        <is>
          <t>WP_111700265.1</t>
        </is>
      </c>
      <c r="E58" s="16" t="inlineStr">
        <is>
          <t>retrieving_only</t>
        </is>
      </c>
      <c r="F58" s="16" t="n">
        <v>436</v>
      </c>
      <c r="G58" s="16" t="n">
        <v>4</v>
      </c>
      <c r="H58" s="16" t="inlineStr">
        <is>
          <t>near</t>
        </is>
      </c>
      <c r="I58" s="16" t="inlineStr">
        <is>
          <t>MAGAAGWPSTASAADNPYQRGPAPTAASIAADRGPFATAQVTVPRGNGFGGGVIYYPTDTSQGTFGAIAIAPGFGTAWSYYAWQGPRLASFGFVVIGIETNTLNDYADARAAQLLAALDYLVNSSSVRDRVDRNRLAVGGHSMGGGGAILAANQRPSLLTAVGQAPYVPDGSLSGIKSPTIIFAGQVDGTVTPQYAQNAYNTIPGSVERAYVEIANEGHGFPAGGGGGNSGAFARTMMVWLKLFIDRDTRYAPFLCPSLTNANGISKYMASCPLDPPGGGPTASPTSTPTSTPTSTPTSTPTGTPPAGGTSALRGVASGRCLDVNGASQANGATVLIWDCNGQNNQKWTSTSAGELRVYGNKCLDVNGGGTADGSAVIIWDCNGQSNQKWRLNSDGSITAVGANKCLDVSGNGTANGTRVQIWSCTGGTNQKWTRV</t>
        </is>
      </c>
      <c r="J58" s="15" t="inlineStr"/>
      <c r="K58" s="15" t="inlineStr"/>
    </row>
    <row r="59">
      <c r="A59" s="16" t="n">
        <v>10</v>
      </c>
      <c r="B59" s="16" t="inlineStr">
        <is>
          <t>superset</t>
        </is>
      </c>
      <c r="C59" s="16" t="inlineStr">
        <is>
          <t>ESM010</t>
        </is>
      </c>
      <c r="D59" s="16" t="inlineStr">
        <is>
          <t>WP_167521412.1</t>
        </is>
      </c>
      <c r="E59" s="16" t="inlineStr">
        <is>
          <t>retrieving_only</t>
        </is>
      </c>
      <c r="F59" s="16" t="n">
        <v>475</v>
      </c>
      <c r="G59" s="16" t="n">
        <v>43</v>
      </c>
      <c r="H59" s="16" t="inlineStr">
        <is>
          <t>near</t>
        </is>
      </c>
      <c r="I59" s="16" t="inlineStr">
        <is>
          <t>MSPPQAPEPASRRAVSAYDTGPRRFAAAVLAGIVAVLLATAGAAGWPSAVSAADNPYQRGPAPTAASIAADRGPFATAQVTVPRGNGFGGGVIYYPTDTSQGTFGAIAIAPGFGTAWSYYAWQGPRLASFGFVVIGIETNTLNDYADARAAQLLAALDYLVNSSSVRDRVDRNRLAVGGHSMGGGGAILAANQRPSLLTAVGQAPYVPDGSLSGIKSPTIIFAGQADGTVTPQYAQNAYNTIPGSVERAYVEIANEGHGFPAGGGGGNSGAFARTMMVWLKLFVDKDTRYAPFLCPSLTNANGISKYMASCPLDPPGGGPTASPTSTPTSTPTSTPTSTPTGTPPAGGTSALRGVASGRCLDVNGASQANGATVLIWDCNGQNNQKWTSTSAGELRVYGNKCLDVNGGGTADGSAVIIWDCNGQSNQKWRLNSDGSITAVGANKCLDVSGNGTANGTRVQIWSCTGGTNQKWTRV</t>
        </is>
      </c>
      <c r="J59" s="15" t="inlineStr"/>
      <c r="K59" s="15" t="inlineStr"/>
    </row>
    <row r="60">
      <c r="A60" s="14" t="n">
        <v>11</v>
      </c>
      <c r="B60" s="14" t="inlineStr">
        <is>
          <t>core</t>
        </is>
      </c>
      <c r="C60" s="14" t="inlineStr">
        <is>
          <t>PLAase III</t>
        </is>
      </c>
      <c r="D60" s="14" t="inlineStr">
        <is>
          <t>ABY67151.1</t>
        </is>
      </c>
      <c r="E60" s="14" t="inlineStr">
        <is>
          <t>retrieving_only</t>
        </is>
      </c>
      <c r="F60" s="14" t="n">
        <v>176</v>
      </c>
      <c r="G60" s="14" t="n">
        <v>0</v>
      </c>
      <c r="H60" s="14" t="inlineStr"/>
      <c r="I60" s="14" t="inlineStr">
        <is>
          <t>YDVRGGDAYYINNSPRCSIGFSVNGGFLTAGHCGPGTVTGSNRVAMGSFARASFPGNDYGHVRVNSNWVPRGIINNGTRVSGSSEASTGASICKSGSTTGWTCGTVGAKNQTVRYAEGTVYGMTATNARSQAGDSGGSFIAGNQAQGMLSGGNSTVTYFFPVRPALSATGTSLVLG</t>
        </is>
      </c>
      <c r="J60" s="15" t="inlineStr"/>
      <c r="K60" s="15" t="inlineStr"/>
    </row>
    <row r="61">
      <c r="A61" s="16" t="n">
        <v>11</v>
      </c>
      <c r="B61" s="16" t="inlineStr">
        <is>
          <t>superset</t>
        </is>
      </c>
      <c r="C61" s="16" t="inlineStr">
        <is>
          <t>PLase3</t>
        </is>
      </c>
      <c r="D61" s="16" t="inlineStr">
        <is>
          <t>B0FY08;-</t>
        </is>
      </c>
      <c r="E61" s="16" t="inlineStr">
        <is>
          <t>plasticome.v1_only</t>
        </is>
      </c>
      <c r="F61" s="16" t="n">
        <v>364</v>
      </c>
      <c r="G61" s="16" t="n">
        <v>188</v>
      </c>
      <c r="H61" s="16" t="inlineStr">
        <is>
          <t>near</t>
        </is>
      </c>
      <c r="I61" s="16" t="inlineStr">
        <is>
          <t>MKITKLLGVAATAALATGALVTGTPAAASSDTLLNAEMVPALQRDLGLTAGQALARIQSETAAGTLEQSLASALAGSFGGASYNEATGKLRVGVTDAAKLGQVVASGAEAELVRFSAAQLDSTVDKLNAGERAADGAITGWGVDTKTNRVTLNVLPGKSGTVDSFLEKTGVDKSAVAVVETAAVPTLKYDVRGGDAYYINNSSRCSIGFSVNGGFLTAGHCGPGTVTGSNRVAMGSFARASFPGNDYGHVRVNSNWVPRGIINNGTRVSGSSEASTGASICKSGSTTGWTCGTVGAKNQTVRYAEGTVYGMTATNVRSQAGDSGGSFIAGNQAQGMLSGGNSTVTYFFPVRPALSATGTSLVLG</t>
        </is>
      </c>
      <c r="J61" s="15" t="inlineStr"/>
      <c r="K61" s="15" t="inlineStr"/>
    </row>
    <row r="62">
      <c r="A62" s="14" t="n">
        <v>12</v>
      </c>
      <c r="B62" s="14" t="inlineStr">
        <is>
          <t>core</t>
        </is>
      </c>
      <c r="C62" s="14" t="inlineStr">
        <is>
          <t>204</t>
        </is>
      </c>
      <c r="D62" s="14" t="inlineStr"/>
      <c r="E62" s="14" t="inlineStr">
        <is>
          <t>retrieving_only</t>
        </is>
      </c>
      <c r="F62" s="14" t="n">
        <v>250</v>
      </c>
      <c r="G62" s="14" t="n">
        <v>0</v>
      </c>
      <c r="H62" s="14" t="inlineStr"/>
      <c r="I62" s="14" t="inlineStr">
        <is>
          <t>MVPSAGVGLSGVLHLPAGVSRPVLFLHGFTGNKTESGRLYTDMARVLCSAGYAALRFDFRGHGDSPLPFEEFRISLAVEDARNAAGFLKNVPEVDGTRFGVVGLSMGGGVAVSLAAGREDVGALVLLSPALDWPELFQRARGFFRAEEGYVYWGPHRMRDVYAMETMNFSVMGLAEEIQAPTLIIHSVDDMVVPISQAKRFYEKLKVEKKFIEIEHGGHVFDDYNVRRRIEQEVLDWVKRHLLEHHHHHH</t>
        </is>
      </c>
      <c r="J62" s="15" t="inlineStr"/>
      <c r="K62" s="15" t="inlineStr"/>
    </row>
    <row r="63">
      <c r="A63" s="16" t="n">
        <v>12</v>
      </c>
      <c r="B63" s="16" t="inlineStr">
        <is>
          <t>superset</t>
        </is>
      </c>
      <c r="C63" s="16" t="inlineStr">
        <is>
          <t>Enzyme 204 like</t>
        </is>
      </c>
      <c r="D63" s="16" t="inlineStr">
        <is>
          <t>YNP18_240440;-</t>
        </is>
      </c>
      <c r="E63" s="16" t="inlineStr">
        <is>
          <t>plasticome.v1_only</t>
        </is>
      </c>
      <c r="F63" s="16" t="n">
        <v>258</v>
      </c>
      <c r="G63" s="16" t="n">
        <v>8</v>
      </c>
      <c r="H63" s="16" t="inlineStr">
        <is>
          <t>near</t>
        </is>
      </c>
      <c r="I63" s="16" t="inlineStr">
        <is>
          <t>MSRQGSSLSGCREQLVWVPSAGVGLSGVLHLPAGVSRPVLFLHGFTGNKTESGRLYTDMARVLCSVGYAALRFDFRCHGDSPLPFEEFRISLAVEDARNAAGFLKNVPEVDGTRFGVVGLSMGGGVAVSLAAGREDVGALVLLSPALDWPELFQRARGFFRAEEGYVYWGPNRMRDVYAMETMNFSVMGLAEEIKAPTLIIHSVDDMVVPISQAKRFYEKLKVEKKFIEIEHGGHVFDDYNVRRRIEQEVLEWVKRHL</t>
        </is>
      </c>
      <c r="J63" s="15" t="inlineStr"/>
      <c r="K63" s="15" t="inlineStr"/>
    </row>
    <row r="64">
      <c r="A64" s="14" t="n">
        <v>13</v>
      </c>
      <c r="B64" s="14" t="inlineStr">
        <is>
          <t>core</t>
        </is>
      </c>
      <c r="C64" s="14" t="inlineStr">
        <is>
          <t>SIBER-1</t>
        </is>
      </c>
      <c r="D64" s="14" t="inlineStr">
        <is>
          <t>WOR09923;-</t>
        </is>
      </c>
      <c r="E64" s="14" t="inlineStr">
        <is>
          <t>plasticome.v1_only</t>
        </is>
      </c>
      <c r="F64" s="14" t="n">
        <v>257</v>
      </c>
      <c r="G64" s="14" t="n">
        <v>0</v>
      </c>
      <c r="H64" s="14" t="inlineStr"/>
      <c r="I64" s="14" t="inlineStr">
        <is>
          <t>AAVHGPDPTDALLEASRGPYATRQVDVSSLLVSGFGGGTIYYPTTTSEGTFGGVAIAPGYTADKSSLAWLAARLASHGFVVFNIDTLTRLDQPDSRGRQLLAALDYLTERSSVRGRVDASRLGVMGHSMGGGGTLEAVDGRPSLRAAVPLTPWNLDKTWPGVQTPTLIIGADNDTVAPVSSHAVPFYTSLPSSLDKAYLELNNATHFAPNTTNTTIGKYAVAWMKRFVDDDTRYDRFLCPGPSRGLTVEEYRSTCPF</t>
        </is>
      </c>
      <c r="J64" s="15" t="inlineStr"/>
      <c r="K64" s="15" t="inlineStr"/>
    </row>
    <row r="65">
      <c r="A65" s="16" t="n">
        <v>13</v>
      </c>
      <c r="B65" s="16" t="inlineStr">
        <is>
          <t>superset</t>
        </is>
      </c>
      <c r="C65" s="16" t="inlineStr">
        <is>
          <t>169</t>
        </is>
      </c>
      <c r="D65" s="16" t="inlineStr">
        <is>
          <t>OPG10926.1</t>
        </is>
      </c>
      <c r="E65" s="16" t="inlineStr">
        <is>
          <t>retrieving_only</t>
        </is>
      </c>
      <c r="F65" s="16" t="n">
        <v>308</v>
      </c>
      <c r="G65" s="16" t="n">
        <v>51</v>
      </c>
      <c r="H65" s="16" t="inlineStr">
        <is>
          <t>near</t>
        </is>
      </c>
      <c r="I65" s="16" t="inlineStr">
        <is>
          <t>MAGPTPTPRECTDVPTHPPTPLLRRMSSAVTTLLLVVLLALAGGLAAPAAHAAVHGPDPTDALLEASRGPYATAQIDVSSLSVSGFGGGTIYYPTTTSEGTFGGVAIAPGYTADKSSLAWLAARLASHGFVVFNIDTLTRLDQPDSRGRQLLAALDYLTQRSSVRGRVDATRLGVMGHSMGGGGTLEAVADRPSLRAAVPLTPWNLDKTWSGVQTPTLIIGADNDTVAPVASHAEPFYTSLPSSLDKAYLELNNATHFAPNTTNTTIGKYAVAWMKRFVDDDTRYGRFLCPGPSSGLLVEEYRSTCPF</t>
        </is>
      </c>
      <c r="J65" s="15" t="inlineStr"/>
      <c r="K65" s="15" t="inlineStr"/>
    </row>
    <row r="66">
      <c r="A66" s="14" t="n">
        <v>14</v>
      </c>
      <c r="B66" s="14" t="inlineStr">
        <is>
          <t>core</t>
        </is>
      </c>
      <c r="C66" s="14" t="inlineStr">
        <is>
          <t>Enzyme 211 like</t>
        </is>
      </c>
      <c r="D66" s="14" t="inlineStr">
        <is>
          <t>JzSedJan11_10004914;-</t>
        </is>
      </c>
      <c r="E66" s="14" t="inlineStr">
        <is>
          <t>plasticome.v1_only</t>
        </is>
      </c>
      <c r="F66" s="14" t="n">
        <v>263</v>
      </c>
      <c r="G66" s="14" t="n">
        <v>0</v>
      </c>
      <c r="H66" s="14" t="inlineStr"/>
      <c r="I66" s="14" t="inlineStr">
        <is>
          <t>MIRPVTFRNMNQQIIGILHTPDNIRLNEKVPGILMFHGFTGNKTEAHRLFVHVARSLSEHGFIVLRFDFRGSGDSDGEFEDMTLPGEVSDAERALTFLLRQRNVDKNRIGVIGLSMGGRVAAILASKDRRVKFAVLYSPALGPLRDRSLSFMSKEKIERLNSGEAVEFFAEGWYIKKAFFETVDYIVPLDIMDSIKVPVLIVHGDKDPLIPVGEAIRAYEKIKGVNEKNELYIVRGGDHTFSKKEHTLEVIKKTLDWIRSLGI</t>
        </is>
      </c>
      <c r="J66" s="15" t="inlineStr"/>
      <c r="K66" s="15" t="inlineStr"/>
    </row>
    <row r="67">
      <c r="A67" s="16" t="n">
        <v>14</v>
      </c>
      <c r="B67" s="16" t="inlineStr">
        <is>
          <t>superset</t>
        </is>
      </c>
      <c r="C67" s="16" t="inlineStr">
        <is>
          <t>211</t>
        </is>
      </c>
      <c r="D67" s="16" t="inlineStr"/>
      <c r="E67" s="16" t="inlineStr">
        <is>
          <t>retrieving_only</t>
        </is>
      </c>
      <c r="F67" s="16" t="n">
        <v>272</v>
      </c>
      <c r="G67" s="16" t="n">
        <v>9</v>
      </c>
      <c r="H67" s="16" t="inlineStr">
        <is>
          <t>near</t>
        </is>
      </c>
      <c r="I67" s="16" t="inlineStr">
        <is>
          <t>MLIRPVTFRNMNQQIIGILHTPDNIRLNEKVPGILMFHGFTGNKTEAHRLFVHVARSLSEHGFIVLRFDFRGSGDSDGEFEDMTLPGEVSDAERALTFLLRQRNVDKNRIGVIGLSMGGRVAAILASKDRRVKFAVLYSPALGPLRDRSLSFMSKEKIERLNSGEAVEFFAEGWYIKKAFFETVDYIVPLDIMDSIKVPVLIVHGDKDPLIPVGEAIRAYEKIKGVNEKNELYIVRGGDHTFSKKEHTLEVIKKTLDWIRSLGILEHHHHHH</t>
        </is>
      </c>
      <c r="J67" s="15" t="inlineStr"/>
      <c r="K67" s="15" t="inlineStr"/>
    </row>
    <row r="68">
      <c r="A68" s="14" t="n">
        <v>15</v>
      </c>
      <c r="B68" s="14" t="inlineStr">
        <is>
          <t>core</t>
        </is>
      </c>
      <c r="C68" s="14" t="inlineStr">
        <is>
          <t>1463</t>
        </is>
      </c>
      <c r="D68" s="14" t="inlineStr">
        <is>
          <t>WP_081971423.1</t>
        </is>
      </c>
      <c r="E68" s="14" t="inlineStr">
        <is>
          <t>retrieving_only</t>
        </is>
      </c>
      <c r="F68" s="14" t="n">
        <v>265</v>
      </c>
      <c r="G68" s="14" t="n">
        <v>0</v>
      </c>
      <c r="H68" s="14" t="inlineStr"/>
      <c r="I68" s="14" t="inlineStr">
        <is>
          <t>MGGGVAAVATPALADEIGQAPTASNITGNGSFATTSESISSLVSGFGGGRVYYPTATGRYPVIAISPGFTATWSSLAWIGPRLSSWGFVVVGIETNSIYDQPGSRGNQLLAALNWAVNSSSTAVRSRVDGSRRGVAGHSMGGGGTLEALAADTSGLVKAGVPLAPWNTDKIWSNVSEPVLIVGGQADTIAPVATHSVPFYNTLAGPKTYVELTGASHFFPQTTNATTSRALVSWFKRWLNQDSRFTPYTCGFGGLAVSDFRSNAC</t>
        </is>
      </c>
      <c r="J68" s="15" t="inlineStr"/>
      <c r="K68" s="15" t="inlineStr"/>
    </row>
    <row r="69">
      <c r="A69" s="16" t="n">
        <v>15</v>
      </c>
      <c r="B69" s="16" t="inlineStr">
        <is>
          <t>superset</t>
        </is>
      </c>
      <c r="C69" s="16" t="inlineStr">
        <is>
          <t>ESM093</t>
        </is>
      </c>
      <c r="D69" s="16" t="inlineStr">
        <is>
          <t>WP_239135698.1</t>
        </is>
      </c>
      <c r="E69" s="16" t="inlineStr">
        <is>
          <t>retrieving_only</t>
        </is>
      </c>
      <c r="F69" s="16" t="n">
        <v>279</v>
      </c>
      <c r="G69" s="16" t="n">
        <v>14</v>
      </c>
      <c r="H69" s="16" t="inlineStr">
        <is>
          <t>near</t>
        </is>
      </c>
      <c r="I69" s="16" t="inlineStr">
        <is>
          <t>MRTILLRLAVVLTLMGGGVAAVATPALADEIGQAPTASNITGNGSFATTSASISSTVAGFGGGRVYYPTATGTYPVIAISPGFTATWSSLSWIGPRLSSWGFVVVGIETNSIYDQPGSRGSQLLAALNWAVSSSPTAVRSRVDGSRRGVAGHSMGGGGTLEALAADTSGLVKAGVPLAPWNSDKTWNNVSEPVLIVGGQSDTIAPVSSHSVPFYNTLAGPKTYVELTGASHFFPQSSNATTSRALVSWFKRWLNQDSRFTPFTCGFSGAAVSSFRTNAC</t>
        </is>
      </c>
      <c r="J69" s="15" t="inlineStr"/>
      <c r="K69" s="15" t="inlineStr"/>
    </row>
    <row r="70">
      <c r="A70" s="14" t="n">
        <v>16</v>
      </c>
      <c r="B70" s="14" t="inlineStr">
        <is>
          <t>core</t>
        </is>
      </c>
      <c r="C70" s="14" t="inlineStr">
        <is>
          <t>jmPE14</t>
        </is>
      </c>
      <c r="D70" s="14" t="inlineStr"/>
      <c r="E70" s="14" t="inlineStr">
        <is>
          <t>retrieving_only</t>
        </is>
      </c>
      <c r="F70" s="14" t="n">
        <v>271</v>
      </c>
      <c r="G70" s="14" t="n">
        <v>0</v>
      </c>
      <c r="H70" s="14" t="inlineStr"/>
      <c r="I70" s="14" t="inlineStr">
        <is>
          <t>APSAPCSNCTRGPAPTVASLKASSGPFSTAKFSVSGYLRGFGSSTVYYPTNTTGKMGAIAVIPGYLSYESSIEWWGPRLASHGFVVMTMNTNTIYDQPDSRADQLSSALDYLISQSNSRTSPLYNKIDSTRLGAIGWSMGGGGSLKLSTQRSINAIIPQAPWYSGYNTFNQITTPALILACESDVVAPVASHASPFYNRIPNSTPKAFLEINNGSHFCANSGYPDEALLGLYGISWMKRFIDFDTRYSQFLCGPNHTADYSISEYRQNCPY</t>
        </is>
      </c>
      <c r="J70" s="15" t="inlineStr"/>
      <c r="K70" s="15" t="inlineStr"/>
    </row>
    <row r="71">
      <c r="A71" s="16" t="n">
        <v>16</v>
      </c>
      <c r="B71" s="16" t="inlineStr">
        <is>
          <t>superset</t>
        </is>
      </c>
      <c r="C71" s="16" t="inlineStr">
        <is>
          <t>jmPE13</t>
        </is>
      </c>
      <c r="D71" s="16" t="inlineStr">
        <is>
          <t>-</t>
        </is>
      </c>
      <c r="E71" s="16" t="inlineStr">
        <is>
          <t>both</t>
        </is>
      </c>
      <c r="F71" s="16" t="n">
        <v>273</v>
      </c>
      <c r="G71" s="16" t="n">
        <v>2</v>
      </c>
      <c r="H71" s="16" t="inlineStr">
        <is>
          <t>near</t>
        </is>
      </c>
      <c r="I71" s="16" t="inlineStr">
        <is>
          <t>APSPSAPCSNCTRGPNPTEASLKANSGPFSVSRFSVSGFLRGFGSSTVYYPTNTTGKMGAIAVIPGYLSYESSIEWWGPRLASHGFVVMTMNTNTIYDQPDSRANQLSSALDYLISQSNSRTSPLYNKIDSTRLGAIGWSMGGGGSLKLSTQRSINAIIPQAPYYAGFNRFDEIKTPALILACESDVVAPVAIHASPFYNRLPNSTPKAFLEINNGSHFCANSGYPDERLLGMYGIAWMKRFIDFDTRYSQFLCGPNHTADYSISEYRQNCPY</t>
        </is>
      </c>
      <c r="J71" s="15" t="inlineStr"/>
      <c r="K71" s="15" t="inlineStr"/>
    </row>
    <row r="72">
      <c r="A72" s="14" t="n">
        <v>17</v>
      </c>
      <c r="B72" s="14" t="inlineStr">
        <is>
          <t>core</t>
        </is>
      </c>
      <c r="C72" s="14" t="inlineStr">
        <is>
          <t>1522</t>
        </is>
      </c>
      <c r="D72" s="14" t="inlineStr">
        <is>
          <t>WP_155388305.1</t>
        </is>
      </c>
      <c r="E72" s="14" t="inlineStr">
        <is>
          <t>retrieving_only</t>
        </is>
      </c>
      <c r="F72" s="14" t="n">
        <v>276</v>
      </c>
      <c r="G72" s="14" t="n">
        <v>0</v>
      </c>
      <c r="H72" s="14" t="inlineStr"/>
      <c r="I72" s="14" t="inlineStr">
        <is>
          <t>MIATTFVATALAAGTALGTGAPAYADEIGQAPTSSNITGNGSFSVSTYNISSLVSGFGGGVAYYPSTAGRYPVVAVSPGFTARWSSISWIGPRLASWGFVVVGIETNSVYDQPASRGSQLLAALNWAVNSAPSAITSRADGSRRGVAGHSMGGGGTLEALAADTTGNVKAGVPLAPWNSDKTWNNVNEPVQIIGGESDTVAGVSSHSIPFYNSLGGSKSYVELNGASHFFPQTTNATTSRALVSWFKRWLNQDARFTPFTCGYSGTAVSDFRTNAC</t>
        </is>
      </c>
      <c r="J72" s="15" t="inlineStr"/>
      <c r="K72" s="15" t="inlineStr"/>
    </row>
    <row r="73">
      <c r="A73" s="16" t="n">
        <v>17</v>
      </c>
      <c r="B73" s="16" t="inlineStr">
        <is>
          <t>superset</t>
        </is>
      </c>
      <c r="C73" s="16" t="inlineStr">
        <is>
          <t>ESM177</t>
        </is>
      </c>
      <c r="D73" s="16" t="inlineStr">
        <is>
          <t>WP_239086781.1</t>
        </is>
      </c>
      <c r="E73" s="16" t="inlineStr">
        <is>
          <t>retrieving_only</t>
        </is>
      </c>
      <c r="F73" s="16" t="n">
        <v>290</v>
      </c>
      <c r="G73" s="16" t="n">
        <v>14</v>
      </c>
      <c r="H73" s="16" t="inlineStr">
        <is>
          <t>near</t>
        </is>
      </c>
      <c r="I73" s="16" t="inlineStr">
        <is>
          <t>MQQTISSPRRRLTRLIATTFVATALAAGTALGTGTPAYADEIGQAPTSSNITGNGSFSVSTYNISSLVTGFGGGVAYYPSTAGRYPVVAVSPGFTARWSSISWIGPRLASWGFVVVGIETNSVYDQPASRGSQLLAALNWAVNSAPSAITSRADGSRRGVAGHSMGGGGTLEALAADTTGNVKAGVPLAPWNSDKTWNNVNEPVQIIGGESDTVAGVSSHSIPFYNSLGGSKSYVELNGASHFFPQTTNATTSRALVSWFKRWLNQDARFTPFTCGYGGTAVSDFRTNAC</t>
        </is>
      </c>
      <c r="J73" s="15" t="inlineStr"/>
      <c r="K73" s="15" t="inlineStr"/>
    </row>
    <row r="74">
      <c r="A74" s="14" t="n">
        <v>18</v>
      </c>
      <c r="B74" s="14" t="inlineStr">
        <is>
          <t>core</t>
        </is>
      </c>
      <c r="C74" s="14" t="inlineStr">
        <is>
          <t>Enzyme 409</t>
        </is>
      </c>
      <c r="D74" s="14" t="inlineStr">
        <is>
          <t>WP_101893509.1;-</t>
        </is>
      </c>
      <c r="E74" s="14" t="inlineStr">
        <is>
          <t>plasticome.v1_only</t>
        </is>
      </c>
      <c r="F74" s="14" t="n">
        <v>283</v>
      </c>
      <c r="G74" s="14" t="n">
        <v>0</v>
      </c>
      <c r="H74" s="14" t="inlineStr"/>
      <c r="I74" s="14" t="inlineStr">
        <is>
          <t>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  <c r="J74" s="15" t="inlineStr"/>
      <c r="K74" s="15" t="inlineStr"/>
    </row>
    <row r="75">
      <c r="A75" s="16" t="n">
        <v>18</v>
      </c>
      <c r="B75" s="16" t="inlineStr">
        <is>
          <t>superset</t>
        </is>
      </c>
      <c r="C75" s="16" t="inlineStr">
        <is>
          <t>412</t>
        </is>
      </c>
      <c r="D75" s="16" t="inlineStr">
        <is>
          <t>WP_158643351.1</t>
        </is>
      </c>
      <c r="E75" s="16" t="inlineStr">
        <is>
          <t>retrieving_only</t>
        </is>
      </c>
      <c r="F75" s="16" t="n">
        <v>311</v>
      </c>
      <c r="G75" s="16" t="n">
        <v>28</v>
      </c>
      <c r="H75" s="16" t="inlineStr">
        <is>
          <t>suffix</t>
        </is>
      </c>
      <c r="I75" s="16" t="inlineStr">
        <is>
          <t>MRKYPTSSRWIAALSFAAMGLFSTQLLA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  <c r="J75" s="15" t="inlineStr"/>
      <c r="K75" s="15" t="inlineStr"/>
    </row>
    <row r="76">
      <c r="A76" s="14" t="n">
        <v>19</v>
      </c>
      <c r="B76" s="14" t="inlineStr">
        <is>
          <t>core</t>
        </is>
      </c>
      <c r="C76" s="14" t="inlineStr">
        <is>
          <t>Est1;Enzyme 708</t>
        </is>
      </c>
      <c r="D76" s="14" t="inlineStr">
        <is>
          <t>BAI99230;D4Q9N1;-;BAI99230.2</t>
        </is>
      </c>
      <c r="E76" s="14" t="inlineStr">
        <is>
          <t>both</t>
        </is>
      </c>
      <c r="F76" s="14" t="n">
        <v>296</v>
      </c>
      <c r="G76" s="14" t="n">
        <v>0</v>
      </c>
      <c r="H76" s="14" t="inlineStr"/>
      <c r="I76" s="14" t="inlineStr">
        <is>
      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  <c r="J76" s="15" t="inlineStr"/>
      <c r="K76" s="15" t="inlineStr"/>
    </row>
    <row r="77">
      <c r="A77" s="16" t="n">
        <v>19</v>
      </c>
      <c r="B77" s="16" t="inlineStr">
        <is>
          <t>superset</t>
        </is>
      </c>
      <c r="C77" s="16" t="inlineStr">
        <is>
          <t>Est119;Est2</t>
        </is>
      </c>
      <c r="D77" s="16" t="inlineStr">
        <is>
          <t>F7IX06;6AID;BAK48590.1</t>
        </is>
      </c>
      <c r="E77" s="16" t="inlineStr">
        <is>
          <t>both</t>
        </is>
      </c>
      <c r="F77" s="16" t="n">
        <v>300</v>
      </c>
      <c r="G77" s="16" t="n">
        <v>4</v>
      </c>
      <c r="H77" s="16" t="inlineStr">
        <is>
          <t>near</t>
        </is>
      </c>
      <c r="I77" s="16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  <c r="J77" s="15" t="inlineStr"/>
      <c r="K77" s="15" t="inlineStr"/>
    </row>
    <row r="78">
      <c r="A78" s="14" t="n">
        <v>20</v>
      </c>
      <c r="B78" s="14" t="inlineStr">
        <is>
          <t>core</t>
        </is>
      </c>
      <c r="C78" s="14" t="inlineStr">
        <is>
          <t>607-Nsp</t>
        </is>
      </c>
      <c r="D78" s="14" t="inlineStr">
        <is>
          <t>KPI31299.1</t>
        </is>
      </c>
      <c r="E78" s="14" t="inlineStr">
        <is>
          <t>retrieving_only</t>
        </is>
      </c>
      <c r="F78" s="14" t="n">
        <v>306</v>
      </c>
      <c r="G78" s="14" t="n">
        <v>0</v>
      </c>
      <c r="H78" s="14" t="inlineStr"/>
      <c r="I78" s="14" t="inlineStr">
        <is>
          <t>MRTGAAHHASTGSPHRRSGQLARLATAVAAVVGLTTLSGPGAQAADNPYERGPAPTTASIEAARGPYAVSQTTVSSLAVTGFGGGTIYYPTSTGDGTFGAIAVSPGYTATQSSIAWLGPRLASQGFVVFTIDTLTTLDQPDSRGRQLLAALDHLTQVSSVRTRVDGSRLGVMGHSMGGGGSLEAAKARPSLQAAIPLTPWNLDKSWPEVGTPTLIVGADGDTVAPVASHAEPFYSSLPSSLDRAYLELNNATHFTPNSSNTTIAKYGISWLKRFVDNDTRYEQFLCPLPQPSTTIDEYRGNCPHTS</t>
        </is>
      </c>
      <c r="J78" s="15" t="inlineStr"/>
      <c r="K78" s="15" t="inlineStr"/>
    </row>
    <row r="79">
      <c r="A79" s="16" t="n">
        <v>20</v>
      </c>
      <c r="B79" s="16" t="inlineStr">
        <is>
          <t>superset</t>
        </is>
      </c>
      <c r="C79" s="16" t="inlineStr">
        <is>
          <t>Enzyme 607</t>
        </is>
      </c>
      <c r="D79" s="16" t="inlineStr">
        <is>
          <t>WP_107095481.1;-</t>
        </is>
      </c>
      <c r="E79" s="16" t="inlineStr">
        <is>
          <t>plasticome.v1_only</t>
        </is>
      </c>
      <c r="F79" s="16" t="n">
        <v>310</v>
      </c>
      <c r="G79" s="16" t="n">
        <v>4</v>
      </c>
      <c r="H79" s="16" t="inlineStr">
        <is>
          <t>suffix</t>
        </is>
      </c>
      <c r="I79" s="16" t="inlineStr">
        <is>
          <t>MQDHMRTGAAHHASTGSPHRRSGQLARLATAVAAVVGLTTLSGPGAQAADNPYERGPAPTTASIEAARGPYAVSQTTVSSLAVTGFGGGTIYYPTSTGDGTFGAIAVSPGYTATQSSIAWLGPRLASQGFVVFTIDTLTTLDQPDSRGRQLLAALDHLTQVSSVRTRVDGSRLGVMGHSMGGGGSLEAAKARPSLQAAIPLTPWNLDKSWPEVGTPTLIVGADGDTVAPVASHAEPFYSSLPSSLDRAYLELNNATHFTPNSSNTTIAKYGISWLKRFVDNDTRYEQFLCPLPQPSTTIDEYRGNCPHTS</t>
        </is>
      </c>
      <c r="J79" s="15" t="inlineStr"/>
      <c r="K79" s="15" t="inlineStr"/>
    </row>
    <row r="80">
      <c r="A80" s="14" t="n">
        <v>21</v>
      </c>
      <c r="B80" s="14" t="inlineStr">
        <is>
          <t>core</t>
        </is>
      </c>
      <c r="C80" s="14" t="inlineStr">
        <is>
          <t>NylC2</t>
        </is>
      </c>
      <c r="D80" s="14" t="inlineStr">
        <is>
          <t>XHH12375</t>
        </is>
      </c>
      <c r="E80" s="14" t="inlineStr">
        <is>
          <t>retrieving_only</t>
        </is>
      </c>
      <c r="F80" s="14" t="n">
        <v>339</v>
      </c>
      <c r="G80" s="14" t="n">
        <v>0</v>
      </c>
      <c r="H80" s="14" t="inlineStr"/>
      <c r="I80" s="14" t="inlineStr">
        <is>
          <t>MTDIHRLAPVLPAGPRRSNGDYALAPVHGTDRGQVEYDFPGVLLGTAEYAEGPTGATVMSIPAGARTFTDRRGGAVGASGLYGYNHAICLAGGSVYGLSAVAGVSEALFERAEHRSGFDQLQLVSGAIIYDYSVRENSVFPDTALGKAALQAARQGVIEVGRVGGGASASSGKVDPARVEFTGQGAAFRQVGDVKVLVVTVLNPYGVIVDRAGRIIRGNFDATTGERRHPALDYEEAIGESRLVESMSGNTTITAVITNVQLSDVELKQFGLQVHSSMHRGIQPFHTPLDGDTLFALTTDEVALPEDPGTSRGRLSLNSTAVATLAGETAWDAILCAAG</t>
        </is>
      </c>
      <c r="J80" s="15" t="inlineStr"/>
      <c r="K80" s="15" t="inlineStr"/>
    </row>
    <row r="81">
      <c r="A81" s="16" t="n">
        <v>21</v>
      </c>
      <c r="B81" s="16" t="inlineStr">
        <is>
          <t>superset</t>
        </is>
      </c>
      <c r="C81" s="16" t="inlineStr">
        <is>
          <t>M-NylC</t>
        </is>
      </c>
      <c r="D81" s="16" t="inlineStr">
        <is>
          <t>KQR39103;A0A0Q5L8W0;-</t>
        </is>
      </c>
      <c r="E81" s="16" t="inlineStr">
        <is>
          <t>both</t>
        </is>
      </c>
      <c r="F81" s="16" t="n">
        <v>340</v>
      </c>
      <c r="G81" s="16" t="n">
        <v>1</v>
      </c>
      <c r="H81" s="16" t="inlineStr">
        <is>
          <t>near</t>
        </is>
      </c>
      <c r="I81" s="16" t="inlineStr">
        <is>
          <t>MVTDTHRLAPVLAAGPRRSNGDYALSPVHGTDRGQVEYDFPGVLLGTAEYAEGPTGATVLSIPAGARTFTDRRGGAVGASGLYGYNHAICLAGGSVYGLSAVAGVSEALFERAEHRSGFDQLQLVSGAIIYDYSVRENSVFPDTALGKAALQAARQGVVEVGRVGGGASASSGKVDPARVEFTGQGVAFRQVGDVKVLVVTVLNPYGVILDRSGRIIRGNYDASTGERRHPALDYEEAIGESRLVDSMSGNTTITAVVTNVQLTDTELKQFGLQVHSSMHRGIQPFHTPLDGDTLFALTTDEVALPENPSTSRGRLSLNSTAVATLAGETAWDAILCAAG</t>
        </is>
      </c>
      <c r="J81" s="15" t="inlineStr"/>
      <c r="K81" s="15" t="inlineStr"/>
    </row>
    <row r="82">
      <c r="A82" s="14" t="n">
        <v>22</v>
      </c>
      <c r="B82" s="14" t="inlineStr">
        <is>
          <t>core</t>
        </is>
      </c>
      <c r="C82" s="14" t="inlineStr">
        <is>
          <t>LCP_STRK3</t>
        </is>
      </c>
      <c r="D82" s="14" t="inlineStr">
        <is>
          <t>AAR25849.1</t>
        </is>
      </c>
      <c r="E82" s="14" t="inlineStr">
        <is>
          <t>retrieving_only</t>
        </is>
      </c>
      <c r="F82" s="14" t="n">
        <v>397</v>
      </c>
      <c r="G82" s="14" t="n">
        <v>0</v>
      </c>
      <c r="H82" s="14" t="inlineStr"/>
      <c r="I82" s="14" t="inlineStr">
        <is>
          <t>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</t>
        </is>
      </c>
      <c r="J82" s="15" t="inlineStr"/>
      <c r="K82" s="15" t="inlineStr"/>
    </row>
    <row r="83">
      <c r="A83" s="16" t="n">
        <v>22</v>
      </c>
      <c r="B83" s="16" t="inlineStr">
        <is>
          <t>superset</t>
        </is>
      </c>
      <c r="C83" s="16" t="inlineStr">
        <is>
          <t>LCP_STRK3</t>
        </is>
      </c>
      <c r="D83" s="16" t="inlineStr">
        <is>
          <t>Q3L8N0;-;501l</t>
        </is>
      </c>
      <c r="E83" s="16" t="inlineStr">
        <is>
          <t>plasticome.v1_only</t>
        </is>
      </c>
      <c r="F83" s="16" t="n">
        <v>407</v>
      </c>
      <c r="G83" s="16" t="n">
        <v>10</v>
      </c>
      <c r="H83" s="16" t="inlineStr">
        <is>
          <t>suffix</t>
        </is>
      </c>
      <c r="I83" s="16" t="inlineStr">
        <is>
          <t>MDGFSRRRML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</t>
        </is>
      </c>
      <c r="J83" s="15" t="inlineStr"/>
      <c r="K83" s="15" t="inlineStr"/>
    </row>
    <row r="84">
      <c r="A84" s="14" t="n">
        <v>23</v>
      </c>
      <c r="B84" s="14" t="inlineStr">
        <is>
          <t>core</t>
        </is>
      </c>
      <c r="C84" s="14" t="inlineStr">
        <is>
          <t>ESM064</t>
        </is>
      </c>
      <c r="D84" s="14" t="inlineStr">
        <is>
          <t>WP_281901711.1</t>
        </is>
      </c>
      <c r="E84" s="14" t="inlineStr">
        <is>
          <t>retrieving_only</t>
        </is>
      </c>
      <c r="F84" s="14" t="n">
        <v>401</v>
      </c>
      <c r="G84" s="14" t="n">
        <v>0</v>
      </c>
      <c r="H84" s="14" t="inlineStr"/>
      <c r="I84" s="14" t="inlineStr">
        <is>
          <t>MKRLWTIGSVAALLCGASVAVALEAAAADNPYQRGPDPTPQSISATTGPFATASVTVPRQGNFGGGVIYYPTDTSQGTFGAVAISPGLNGTWPGIAWLGPRLSSQGFVVFGIDTLGLNDSTASRGSQLLAALDYLTQTSSVRTRVDASRLAVAGHSMGGGGAFEAVLRRPTLKASIPNAPFFPGSAANVRVPTLITAMQNDSLVGQNRNAYNGIPAGVEKAYIELAGAGHNQIGQPTTAIARNWIPWLKIFVDNDARYHQFFCPTTNMSGLSQYLNTCPLTSATPPTSSPSAGPTTPGPTGPPPGGACAATYQTVNTWSGGYQGEMTVRAGNSAINGWTVRWTMGGGQISQVWNGTLVTGSGAAAVRNAPYNGALAAGATTTFGFISSGTPSATSLTCATP</t>
        </is>
      </c>
      <c r="J84" s="15" t="inlineStr"/>
      <c r="K84" s="15" t="inlineStr"/>
    </row>
    <row r="85">
      <c r="A85" s="16" t="n">
        <v>23</v>
      </c>
      <c r="B85" s="16" t="inlineStr">
        <is>
          <t>superset</t>
        </is>
      </c>
      <c r="C85" s="16" t="inlineStr">
        <is>
          <t>ESM081</t>
        </is>
      </c>
      <c r="D85" s="16" t="inlineStr">
        <is>
          <t>WP_265247586.1</t>
        </is>
      </c>
      <c r="E85" s="16" t="inlineStr">
        <is>
          <t>retrieving_only</t>
        </is>
      </c>
      <c r="F85" s="16" t="n">
        <v>402</v>
      </c>
      <c r="G85" s="16" t="n">
        <v>1</v>
      </c>
      <c r="H85" s="16" t="inlineStr">
        <is>
          <t>near</t>
        </is>
      </c>
      <c r="I85" s="16" t="inlineStr">
        <is>
          <t>MRRLWTIASVAALLCGAGVAVALEASAADNPYQRGPDPTPQSISAPTGPFATASVTVPRQGNFGGGVIYYPTDTSQGTFGAVAISPGLNGTWPGIAWLGPRLSSQGFVVFGIDTLGLSDSTASRGSQLLAALDYLTQTSSVRTRVDSSRLAVAGHSMGGGGAFEAALRRPALKAAIPNAPFFPGSASNVRVPTLITAMQNDSLVGQNRNAYNGIPAGVEKAYVELAGAGHNQIGQPTTAIARNWIPWLKIFVDSDARYHQFLCPTTDMSGLSQYLNTCPLISTTPPTSSPSAQPTTPGPTGPPPGGACAATYRTVNSWSDGYQGEMTVQAGSSAINGWTVRWTMSGGQTISQVWNGTLVAGSGAAAVRNVAYNGSLAAGASTTFGFISSGTPSATSITCGSP</t>
        </is>
      </c>
      <c r="J85" s="15" t="inlineStr"/>
      <c r="K85" s="15" t="inlineStr"/>
    </row>
    <row r="86">
      <c r="A86" s="14" t="n">
        <v>24</v>
      </c>
      <c r="B86" s="14" t="inlineStr">
        <is>
          <t>core</t>
        </is>
      </c>
      <c r="C86" s="14" t="inlineStr">
        <is>
          <t>PlaM5 depolymerase</t>
        </is>
      </c>
      <c r="D86" s="14" t="inlineStr">
        <is>
          <t>A4UZ11;-</t>
        </is>
      </c>
      <c r="E86" s="14" t="inlineStr">
        <is>
          <t>plasticome.v1_only</t>
        </is>
      </c>
      <c r="F86" s="14" t="n">
        <v>419</v>
      </c>
      <c r="G86" s="14" t="n">
        <v>0</v>
      </c>
      <c r="H86" s="14" t="inlineStr"/>
      <c r="I86" s="14" t="inlineStr">
        <is>
          <t>SFLLAFTPFVPTATASASEKNYQPNINLEPIQNSEGNEYPIILVHGLGGFGRDELGGIIKMWGGIHDIEKKLREKGYKVYTAAVGPVSSNRDRAIELYYQIKGGTVDYGEAHAKKTGHSRYGRTYPGFYPEWGEINPKTGKPNKVHLIGHSMGGQTIRTLAQLLYEGDPEEQKISGNDISPLLSGEKQPWLHSVLSISSPHDGSTATYLVNDVIPIIQELVIGAAIFAGNIDQNLYDFKLDHWGIKKQPGESFHSYVQRVRNSPGWKTKDTANWDLKPEGAYELNRWVKAQPDVYYFSVSNTQSRRSLLTGHYVPDLFMNPFLHPTSYYIGSKTFRKSNFVLDKTWWENDGLVSVKAMKGPNIGSNDVIVEYDGTPRKGVWNHLGTMRQFDHLDIIGWGVRDVTGWYEDVARFLYSLPE</t>
        </is>
      </c>
      <c r="J86" s="15" t="inlineStr"/>
      <c r="K86" s="15" t="inlineStr"/>
    </row>
    <row r="87">
      <c r="A87" s="16" t="n">
        <v>24</v>
      </c>
      <c r="B87" s="16" t="inlineStr">
        <is>
          <t>superset</t>
        </is>
      </c>
      <c r="C87" s="16" t="inlineStr">
        <is>
          <t>PlaM4 depolymerase;PlaM4</t>
        </is>
      </c>
      <c r="D87" s="16" t="inlineStr">
        <is>
          <t>AB302136;A4UZ10;-;BAF57210.1</t>
        </is>
      </c>
      <c r="E87" s="16" t="inlineStr">
        <is>
          <t>both</t>
        </is>
      </c>
      <c r="F87" s="16" t="n">
        <v>431</v>
      </c>
      <c r="G87" s="16" t="n">
        <v>12</v>
      </c>
      <c r="H87" s="16" t="inlineStr">
        <is>
          <t>near</t>
        </is>
      </c>
      <c r="I87" s="16" t="inlineStr">
        <is>
          <t>MLLKKRWLIFISFLLAFTLLIPTAASASEKHYKPNIALEPIENSEGNEHPIILVHGLGGFGRDELGGIIKMWGGIHDIEKKLREKGYKVYTAAVGPVSSNRDRAIELYYQIKGGTVDYGEAHAKKYGHDRYGRTYPGFYPEWGEINPKTGKPNKVHLIGHSMGGQTIRTLAQLLYEGDPEEHKTGGNDISPLLSGEKQPWLHSVLSISSPHDGSTATYLVNDVIPIIQELVIGAAIFAGNIDQNLYDFKLDHWGIKKRPGESFHSYVQRVRNSPGWKTKDTANWDLKPEGAYELNRWVKAQPDVYYFSVSNTQSRRSLLTGYYVPDLFMNPFLHPTAYYIGSKTFRKSNFVLDKTWWENDGLVSVKAMKGPNIGSNDVIVEYNGTPRKGVWNHLGTMRQFDHLDIIGWGVRDVTSWYEDVARFLYSLPDDY</t>
        </is>
      </c>
      <c r="J87" s="15" t="inlineStr"/>
      <c r="K87" s="15" t="inlineStr"/>
    </row>
    <row r="88">
      <c r="A88" s="14" t="n">
        <v>25</v>
      </c>
      <c r="B88" s="14" t="inlineStr">
        <is>
          <t>core</t>
        </is>
      </c>
      <c r="C88" s="14" t="inlineStr">
        <is>
          <t>TEP181</t>
        </is>
      </c>
      <c r="D88" s="14" t="inlineStr">
        <is>
          <t>WP_212846608.1</t>
        </is>
      </c>
      <c r="E88" s="14" t="inlineStr">
        <is>
          <t>retrieving_only</t>
        </is>
      </c>
      <c r="F88" s="14" t="n">
        <v>421</v>
      </c>
      <c r="G88" s="14" t="n">
        <v>0</v>
      </c>
      <c r="H88" s="14" t="inlineStr"/>
      <c r="I88" s="14" t="inlineStr">
        <is>
          <t>MRTVVGAAITAAAVAVGMIASSPA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      </is>
      </c>
      <c r="J88" s="15" t="inlineStr"/>
      <c r="K88" s="15" t="inlineStr"/>
    </row>
    <row r="89">
      <c r="A89" s="16" t="n">
        <v>25</v>
      </c>
      <c r="B89" s="16" t="inlineStr">
        <is>
          <t>superset</t>
        </is>
      </c>
      <c r="C89" s="16" t="inlineStr">
        <is>
          <t>ESM136</t>
        </is>
      </c>
      <c r="D89" s="16" t="inlineStr">
        <is>
          <t>GGR16917.1</t>
        </is>
      </c>
      <c r="E89" s="16" t="inlineStr">
        <is>
          <t>retrieving_only</t>
        </is>
      </c>
      <c r="F89" s="16" t="n">
        <v>431</v>
      </c>
      <c r="G89" s="16" t="n">
        <v>10</v>
      </c>
      <c r="H89" s="16" t="inlineStr">
        <is>
          <t>suffix</t>
        </is>
      </c>
      <c r="I89" s="16" t="inlineStr">
        <is>
          <t>MVAGRRRSWGMRTVVGAAITAAAVAVGMIASSPASPSPGTPGGDNPYQRGPDPTVASVAAQYGPFATAQITVPPGNGFNGGFIYYPTDTSHTYGAVAIVPGYTALFADEEAWMGPRLASFGFVVIGVETNSRTDYDTARGTQLLAALDYLTNSSAVRDRVDRNRLSVIGHSMGGGGSLYAATQRPSLKAAIGLAPFKPSGNLASDTVPTMIIGGINDTTVTPSYLDGLYPTLPAATPGAYLQLANADHLYFTRPNDIELRSQIEWLKIFVDNDTRYTPFLCPSVKDTTGIVRSSVKCSTVPGGGSTPSSSRILGTQSGRCVDVPGATHNNGTRVQLYDCNGQANQQWTYTSSKQLTVYGTVCLDAAGSGNGSAVQIYSCNGQANQQWNVNANGTITGVQSGRCLDVWGTGNGQQIQIYDCNGQANQKFSLN</t>
        </is>
      </c>
      <c r="J89" s="15" t="inlineStr"/>
      <c r="K89" s="15" t="inlineStr"/>
    </row>
    <row r="90">
      <c r="A90" s="14" t="n">
        <v>26</v>
      </c>
      <c r="B90" s="14" t="inlineStr">
        <is>
          <t>core</t>
        </is>
      </c>
      <c r="C90" s="14" t="inlineStr">
        <is>
          <t>TEP010</t>
        </is>
      </c>
      <c r="D90" s="14" t="inlineStr">
        <is>
          <t>WP_164449727.1</t>
        </is>
      </c>
      <c r="E90" s="14" t="inlineStr">
        <is>
          <t>retrieving_only</t>
        </is>
      </c>
      <c r="F90" s="14" t="n">
        <v>432</v>
      </c>
      <c r="G90" s="14" t="n">
        <v>0</v>
      </c>
      <c r="H90" s="14" t="inlineStr"/>
      <c r="I90" s="14" t="inlineStr">
        <is>
          <t>MFTVTVATGSASAADNPYQRGPDPTRASVAAVNGPFANTSVSVPTGYGFNGGRIYYPTDTSQGTFGAIAISPGYTALFSAELAWMGPWLASHGFVVIGIETNSRNDFDTARGTQLLAALDYLTQQSPVRDRVDPNRLAVSGHSMGGGGALSAAIRRSSLKAAVGITPYSPSQNLANDRVPTMVISGQADTVVTPSYALNLYNSLPASTESVYLEVAGGDHGFMVGRSNPVLIRTMLPFLKMFVDNDSRYSQFLCPLLDSSGVVTYRSTCPLLPTDPTTPPTGTPTPTPTTPPTPTPTPTTPPPSGSANEIIGTQSGRCVDVPNASRNNGTRVQLYDCNKQTNQSWTYTTNKQLRVYDNMCLDAAGSGNGAAVQIYTCHSGTNQQWNVNSNGTITGVQSGRCLDVWSSNNGAQIQLYDCHGQPNQQFRLAALA</t>
        </is>
      </c>
      <c r="J90" s="15" t="inlineStr"/>
      <c r="K90" s="15" t="inlineStr"/>
    </row>
    <row r="91">
      <c r="A91" s="16" t="n">
        <v>26</v>
      </c>
      <c r="B91" s="16" t="inlineStr">
        <is>
          <t>superset</t>
        </is>
      </c>
      <c r="C91" s="16" t="inlineStr">
        <is>
          <t>1545</t>
        </is>
      </c>
      <c r="D91" s="16" t="inlineStr">
        <is>
          <t>WP_093411427.1</t>
        </is>
      </c>
      <c r="E91" s="16" t="inlineStr">
        <is>
          <t>retrieving_only</t>
        </is>
      </c>
      <c r="F91" s="16" t="n">
        <v>467</v>
      </c>
      <c r="G91" s="16" t="n">
        <v>35</v>
      </c>
      <c r="H91" s="16" t="inlineStr">
        <is>
          <t>near</t>
        </is>
      </c>
      <c r="I91" s="16" t="inlineStr">
        <is>
          <t>MRGHAPHPPPPGEAHAGRVSPGIRRRLFKLATAGIAAAVGMFTVTVATSSASAADNPYQRGPDPTRASVAAVNGPFVNTSVSVPTGYGFNGGRIYYPTDTSQGTFGAIAISPGYTALFSAELAWMGPWLASHGFVVIGIETNSRNDFDTARGTQLLAALDYLTQQSPVRDRVDPNRLAVSGHSMGGGGALSAAIRRSSLKAAVGITPYSPSQNLANDRVPTMVISGQADTVVTPSYALGLYNSLPASTESVYLEVAGGDHGFMVGRSNPVLIRTMLPFLKMFVDNDSRYSQFLCPLLDSSGVVTYRSTCPLLPTNPTTPPPTGTPTPTPTSTPTPTPTPTTPPPSGSANEIIGTQSGRCIDVPNASRNNGTRVQLYDCNKQTNQSWTYNTTNKQLRVYGDMCLDAAGSGNGTAIQIYTCHNGTNQQWNINSNGTITGVQSGRCLDVWSSNNGAQIQLYDCHGQTNQQ</t>
        </is>
      </c>
      <c r="J91" s="15" t="inlineStr"/>
      <c r="K91" s="15" t="inlineStr"/>
    </row>
    <row r="92">
      <c r="A92" s="14" t="n">
        <v>27</v>
      </c>
      <c r="B92" s="14" t="inlineStr">
        <is>
          <t>core</t>
        </is>
      </c>
      <c r="C92" s="14" t="inlineStr">
        <is>
          <t>Enzyme 407</t>
        </is>
      </c>
      <c r="D92" s="14" t="inlineStr">
        <is>
          <t>WP_117215036.1;-</t>
        </is>
      </c>
      <c r="E92" s="14" t="inlineStr">
        <is>
          <t>plasticome.v1_only</t>
        </is>
      </c>
      <c r="F92" s="14" t="n">
        <v>434</v>
      </c>
      <c r="G92" s="14" t="n">
        <v>0</v>
      </c>
      <c r="H92" s="14" t="inlineStr"/>
      <c r="I92" s="14" t="inlineStr">
        <is>
          <t>MQLNKTQASPVAGHASRVWTRAIAAASLGILTAIAVPGPAMAADNPYQRGPDPTRDSVAASRGTFATASTTVGSGNGFGAGFIYYPTDTSQGTFGAVAIVPGYTATWAAEGAWMGHWLASFGFVVIGIDTINRNDWDTARGTQLLAALDYLTQRSTVRDRVDASRLAVMGHSMGGGGAMYAALQRPSLKAAVGLAPFSPSQNLNGMRVPTMLLAGQHDTTTTPASITSLYNGIPAATEKAYLELSGAGHGFPTSNNSVMMRKVIPWLKIFVDSDVRYTQFLCPLMDNTGIRSYQSTCPLLPGTPTPPNRYEAETSPAVCTGTIASNHTGYSGTGFCDGNNATNAYAQFTVNASAAGSMTLRVRFANGTTTARPASLIVNGSTVQTPSFEGTGAWTTWATKTLTVTLNAGNNTIRFNPTTANGLPNLDYIEIAAP</t>
        </is>
      </c>
      <c r="J92" s="15" t="inlineStr"/>
      <c r="K92" s="15" t="inlineStr"/>
    </row>
    <row r="93">
      <c r="A93" s="16" t="n">
        <v>27</v>
      </c>
      <c r="B93" s="16" t="inlineStr">
        <is>
          <t>superset</t>
        </is>
      </c>
      <c r="C93" s="16" t="inlineStr">
        <is>
          <t>407</t>
        </is>
      </c>
      <c r="D93" s="16" t="inlineStr">
        <is>
          <t>WP_162908185.1</t>
        </is>
      </c>
      <c r="E93" s="16" t="inlineStr">
        <is>
          <t>retrieving_only</t>
        </is>
      </c>
      <c r="F93" s="16" t="n">
        <v>436</v>
      </c>
      <c r="G93" s="16" t="n">
        <v>2</v>
      </c>
      <c r="H93" s="16" t="inlineStr">
        <is>
          <t>suffix</t>
        </is>
      </c>
      <c r="I93" s="16" t="inlineStr">
        <is>
          <t>MAMQLNKTQASPVAGHASRVWTRAIAAASLGILTAIAVPGPAMAADNPYQRGPDPTRDSVAASRGTFATASTTVGSGNGFGAGFIYYPTDTSQGTFGAVAIVPGYTATWAAEGAWMGHWLASFGFVVIGIDTINRNDWDTARGTQLLAALDYLTQRSTVRDRVDASRLAVMGHSMGGGGAMYAALQRPSLKAAVGLAPFSPSQNLNGMRVPTMLLAGQHDTTTTPASITSLYNGIPAATEKAYLELSGAGHGFPTSNNSVMMRKVIPWLKIFVDSDVRYTQFLCPLMDNTGIRSYQSTCPLLPGTPTPPNRYEAETSPAVCTGTIASNHTGYSGTGFCDGNNATNAYAQFTVNASAAGSMTLRVRFANGTTTARPASLIVNGSTVQTPSFEGTGAWTTWATKTLTVTLNAGNNTIRFNPTTANGLPNLDYIEIAAP</t>
        </is>
      </c>
      <c r="J93" s="15" t="inlineStr"/>
      <c r="K93" s="15" t="inlineStr"/>
    </row>
    <row r="94">
      <c r="A94" s="14" t="n">
        <v>28</v>
      </c>
      <c r="B94" s="14" t="inlineStr">
        <is>
          <t>core</t>
        </is>
      </c>
      <c r="C94" s="14" t="inlineStr">
        <is>
          <t>ReU</t>
        </is>
      </c>
      <c r="D94" s="14" t="inlineStr"/>
      <c r="E94" s="14" t="inlineStr">
        <is>
          <t>retrieving_only</t>
        </is>
      </c>
      <c r="F94" s="14" t="n">
        <v>471</v>
      </c>
      <c r="G94" s="14" t="n">
        <v>0</v>
      </c>
      <c r="H94" s="14" t="inlineStr"/>
      <c r="I94" s="14" t="inlineStr">
        <is>
          <t>NTSGLGWMSATEMAAQVASKKLSPNEIAEEMIRRVGEVNPA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ARPWADRRPVA</t>
        </is>
      </c>
      <c r="J94" s="15" t="inlineStr"/>
      <c r="K94" s="15" t="inlineStr"/>
    </row>
    <row r="95">
      <c r="A95" s="16" t="n">
        <v>28</v>
      </c>
      <c r="B95" s="16" t="inlineStr">
        <is>
          <t>superset</t>
        </is>
      </c>
      <c r="C95" s="16" t="inlineStr">
        <is>
          <t>ReU-like</t>
        </is>
      </c>
      <c r="D95" s="16" t="inlineStr">
        <is>
          <t>-</t>
        </is>
      </c>
      <c r="E95" s="16" t="inlineStr">
        <is>
          <t>plasticome.v1_only</t>
        </is>
      </c>
      <c r="F95" s="16" t="n">
        <v>472</v>
      </c>
      <c r="G95" s="16" t="n">
        <v>1</v>
      </c>
      <c r="H95" s="16" t="inlineStr">
        <is>
          <t>near</t>
        </is>
      </c>
      <c r="I95" s="16" t="inlineStr">
        <is>
          <t>MNTSGLGWMSATEMAAQVASKKLSPNEIAEEMIRRVDEVNPSVNAIVHFDADQVRRDAGELTRAQDSGEPLGPLHGVPFTIKDLTDVRGLPTTFGLKPMRDNIAERDAVIVTRLRQAGGLYLGKTNTPESGYYGGTDNHLFGPTHNPWKPGHTAGGSSGGAAAAVAAGLGPLAEGSDGAGSVRIPSALCGVVGLKPTTGVIPQTILPGRYNNWAYHGPITRTVADNALMLDVLAGPDHSDPLSIERVESSYVEAARGGIDGLRVAWSPNLGLGHVEPDVAAVCAEAVACFEDLGAKVVEATPEWGDPSEAMWHGIWVPGFAGEHDMLDWDSLHGQVDDNLIELIHEGRRLTGVDYGRADAFRGRMWDTWTEFMNDYDVLISPTLASATFPLTQFAPDWLQGKSLREQLLDWLLTYPYNMLNNPAITVPAGFTADGRPVGLQIAARHRQDALALRVAANLEQARPWADRRPVA</t>
        </is>
      </c>
      <c r="J95" s="15" t="inlineStr"/>
      <c r="K95" s="15" t="inlineStr"/>
    </row>
    <row r="96">
      <c r="A96" s="14" t="n">
        <v>29</v>
      </c>
      <c r="B96" s="14" t="inlineStr">
        <is>
          <t>core</t>
        </is>
      </c>
      <c r="C96" s="14" t="inlineStr">
        <is>
          <t>GatA-like</t>
        </is>
      </c>
      <c r="D96" s="14" t="inlineStr">
        <is>
          <t>-</t>
        </is>
      </c>
      <c r="E96" s="14" t="inlineStr">
        <is>
          <t>plasticome.v1_only</t>
        </is>
      </c>
      <c r="F96" s="14" t="n">
        <v>485</v>
      </c>
      <c r="G96" s="14" t="n">
        <v>0</v>
      </c>
      <c r="H96" s="14" t="inlineStr"/>
      <c r="I96" s="14" t="inlineStr">
        <is>
          <t>MTELHFRSASDLGRMIRRGEISSAELTGHFIGRIEKLDGKTNAVVARDFDRAMSLAKKADEAQARGQSLGALHGLPFTIKDAYEVEGIVSTGGAPVWKDHVPTRSATAIERLQRAGAIVMGKTNVPYLSGDLQTYNDVYGTTNNPWALDCGPGGSSGGSAASLAAGFTAAEYGSDIGGSIRTPAHLCGVFGHKPSFGIVPKRGHLSPPPGSLSEGDLSVAGPLARSAEDLKHLLSLTAGPDWADAAGWKLDLPPARARTPRELRAAVWIDDEFCDIDRESADLLRNAAKALQDAGANVDWNARPDFTLAEITECYLILLHSQIGAGMPQSIRDHWAEMKKGFAPDDKSHAALQAIGGTLSLAERAVWKEVQAQLRWKWHNFFKSYDVVLSPVLMRPAFEHNHQSNWHKRELEVNGVMRPYMDVLIWAGPAVVSYLPATAAPVGVTSEGKPVGIQIIGPHLEDYTTIEVAGMFEEILGGFTPPNGW</t>
        </is>
      </c>
      <c r="J96" s="15" t="inlineStr"/>
      <c r="K96" s="15" t="inlineStr"/>
    </row>
    <row r="97">
      <c r="A97" s="16" t="n">
        <v>29</v>
      </c>
      <c r="B97" s="16" t="inlineStr">
        <is>
          <t>superset</t>
        </is>
      </c>
      <c r="C97" s="16" t="inlineStr">
        <is>
          <t>GatA</t>
        </is>
      </c>
      <c r="D97" s="16" t="inlineStr"/>
      <c r="E97" s="16" t="inlineStr">
        <is>
          <t>retrieving_only</t>
        </is>
      </c>
      <c r="F97" s="16" t="n">
        <v>489</v>
      </c>
      <c r="G97" s="16" t="n">
        <v>4</v>
      </c>
      <c r="H97" s="16" t="inlineStr">
        <is>
          <t>near</t>
        </is>
      </c>
      <c r="I97" s="16" t="inlineStr">
        <is>
          <t>TGLHFRSASELGRMIRRGEISSAELTDHFIQRIETLDGKTNAVVARDFDRARALAKEADAAQARGASLGALHGLPFTIKDAYEVEGIVSTGGNPTWKDHVPTSSATAVERLQRSGAIVMGKTNVPYLSGDLQTYNDIYGTTNNPWALDCGPGGSSGGSAASLAAGFAAAEFGSDIGGSIRTPAHLCGVFGHKPSFGIVPKRGHLSPPPGCLSEGDLSVAGPLARSAEDLKLLLSLTAGPDWADAAGWKLDLPPARARTPRELRAAVWIDDEFCDIDRESADLLRNAAKALQDAGANVDWNARPDFTLAEITECYLILLHSQIGAGMPQSIRDHWAEMKKGFAPDDKSHAALQAIGGTLSLAERAVWKEVQAQLRWKWHTFFKSYDVVLSPVLMRPAFEHNHQSNWHKRELDVNGVKRPYMDVLIWAGPAVVSYLPATAAPVGVTSEGKPVGIQIIGPHLEDYTTIAVAGMFEEILGGFKPPKGWAAALE</t>
        </is>
      </c>
      <c r="J97" s="15" t="inlineStr"/>
      <c r="K97" s="15" t="inlineStr"/>
    </row>
    <row r="98">
      <c r="A98" s="14" t="n">
        <v>30</v>
      </c>
      <c r="B98" s="14" t="inlineStr">
        <is>
          <t>core</t>
        </is>
      </c>
      <c r="C98" s="14" t="inlineStr">
        <is>
          <t>Chath_Est1</t>
        </is>
      </c>
      <c r="D98" s="14" t="inlineStr">
        <is>
          <t>ALS54749.1;-</t>
        </is>
      </c>
      <c r="E98" s="14" t="inlineStr">
        <is>
          <t>plasticome.v1_only</t>
        </is>
      </c>
      <c r="F98" s="14" t="n">
        <v>520</v>
      </c>
      <c r="G98" s="14" t="n">
        <v>0</v>
      </c>
      <c r="H98" s="14" t="inlineStr"/>
      <c r="I98" s="14" t="inlineStr">
        <is>
          <t>M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PNLTLANITQEDNQIQHA</t>
        </is>
      </c>
      <c r="J98" s="15" t="inlineStr"/>
      <c r="K98" s="15" t="inlineStr"/>
    </row>
    <row r="99">
      <c r="A99" s="16" t="n">
        <v>30</v>
      </c>
      <c r="B99" s="16" t="inlineStr">
        <is>
          <t>superset</t>
        </is>
      </c>
      <c r="C99" s="16" t="inlineStr">
        <is>
          <t>Chath_Est1</t>
        </is>
      </c>
      <c r="D99" s="16" t="inlineStr">
        <is>
          <t>ALS54749.1</t>
        </is>
      </c>
      <c r="E99" s="16" t="inlineStr">
        <is>
          <t>retrieving_only</t>
        </is>
      </c>
      <c r="F99" s="16" t="n">
        <v>528</v>
      </c>
      <c r="G99" s="16" t="n">
        <v>8</v>
      </c>
      <c r="H99" s="16" t="inlineStr">
        <is>
          <t>prefix</t>
        </is>
      </c>
      <c r="I99" s="16" t="inlineStr">
        <is>
          <t>M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PNLTLANITQEDNQIQHALEHHHHHH</t>
        </is>
      </c>
      <c r="J99" s="15" t="inlineStr"/>
      <c r="K99" s="15" t="inlineStr"/>
    </row>
    <row r="100">
      <c r="A100" s="14" t="n">
        <v>31</v>
      </c>
      <c r="B100" s="14" t="inlineStr">
        <is>
          <t>core</t>
        </is>
      </c>
      <c r="C100" s="14" t="inlineStr">
        <is>
          <t>CRL</t>
        </is>
      </c>
      <c r="D100" s="14" t="inlineStr">
        <is>
          <t>CAA34684</t>
        </is>
      </c>
      <c r="E100" s="14" t="inlineStr">
        <is>
          <t>retrieving_only</t>
        </is>
      </c>
      <c r="F100" s="14" t="n">
        <v>538</v>
      </c>
      <c r="G100" s="14" t="n">
        <v>0</v>
      </c>
      <c r="H100" s="14" t="inlineStr"/>
      <c r="I100" s="14" t="inlineStr">
        <is>
          <t>SVAA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XDITQGSPFDTGILNALTPQFKRISAVLGDLGFTLARRYFLNHYTGGTKYSFLSKQLSGLPVLGTFHSNDIVFQDYLLGSGSLIYNNAFIAFATDLDPNTAGLLVKWPEYTSSSQSGNNLMMINALGLYTGKDNFRTAGYDALFSNPPSFFV</t>
        </is>
      </c>
      <c r="J100" s="15" t="inlineStr"/>
      <c r="K100" s="15" t="inlineStr"/>
    </row>
    <row r="101">
      <c r="A101" s="16" t="n">
        <v>31</v>
      </c>
      <c r="B101" s="16" t="inlineStr">
        <is>
          <t>superset</t>
        </is>
      </c>
      <c r="C101" s="16" t="inlineStr">
        <is>
          <t>Lip1;Lip5</t>
        </is>
      </c>
      <c r="D101" s="16" t="inlineStr">
        <is>
          <t>P20261;-</t>
        </is>
      </c>
      <c r="E101" s="16" t="inlineStr">
        <is>
          <t>plasticome.v1_only</t>
        </is>
      </c>
      <c r="F101" s="16" t="n">
        <v>549</v>
      </c>
      <c r="G101" s="16" t="n">
        <v>11</v>
      </c>
      <c r="H101" s="16" t="inlineStr">
        <is>
          <t>near</t>
        </is>
      </c>
      <c r="I101" s="16" t="inlineStr">
        <is>
          <t>MELALALSLIASVAA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  <c r="J101" s="15" t="inlineStr"/>
      <c r="K101" s="15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2026-07-20T23:47:11Z</dcterms:created>
  <dcterms:modified xsi:type="dcterms:W3CDTF">2026-07-20T23:50:20Z</dcterms:modified>
</cp:coreProperties>
</file>